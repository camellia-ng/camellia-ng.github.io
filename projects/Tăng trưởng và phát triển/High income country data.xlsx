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final\"/>
    </mc:Choice>
  </mc:AlternateContent>
  <xr:revisionPtr revIDLastSave="0" documentId="13_ncr:1_{E007EBC3-DE1D-4AE6-A0A1-DC015756C674}" xr6:coauthVersionLast="47" xr6:coauthVersionMax="47" xr10:uidLastSave="{00000000-0000-0000-0000-000000000000}"/>
  <bookViews>
    <workbookView xWindow="-120" yWindow="-120" windowWidth="29040" windowHeight="15840" xr2:uid="{00000000-000D-0000-FFFF-FFFF00000000}"/>
  </bookViews>
  <sheets>
    <sheet name="Data" sheetId="11" r:id="rId1"/>
    <sheet name="Series - Metadata" sheetId="2" r:id="rId2"/>
  </sheets>
  <definedNames>
    <definedName name="_xlnm._FilterDatabase" localSheetId="0" hidden="1">Data!$A$1:$P$433</definedName>
  </definedNames>
  <calcPr calcId="181029"/>
</workbook>
</file>

<file path=xl/calcChain.xml><?xml version="1.0" encoding="utf-8"?>
<calcChain xmlns="http://schemas.openxmlformats.org/spreadsheetml/2006/main">
  <c r="J3" i="11" l="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2" i="11"/>
  <c r="G386" i="11"/>
  <c r="H386" i="11"/>
  <c r="I386" i="11"/>
  <c r="M386" i="11"/>
  <c r="G387" i="11"/>
  <c r="H387" i="11"/>
  <c r="I387" i="11"/>
  <c r="M387" i="11"/>
  <c r="G388" i="11"/>
  <c r="H388" i="11"/>
  <c r="I388" i="11"/>
  <c r="M388" i="11"/>
  <c r="G389" i="11"/>
  <c r="H389" i="11"/>
  <c r="I389" i="11"/>
  <c r="M389" i="11"/>
  <c r="G390" i="11"/>
  <c r="H390" i="11"/>
  <c r="I390" i="11"/>
  <c r="M390" i="11"/>
  <c r="G391" i="11"/>
  <c r="H391" i="11"/>
  <c r="I391" i="11"/>
  <c r="M391" i="11"/>
  <c r="G392" i="11"/>
  <c r="H392" i="11"/>
  <c r="I392" i="11"/>
  <c r="M392" i="11"/>
  <c r="G393" i="11"/>
  <c r="H393" i="11"/>
  <c r="I393" i="11"/>
  <c r="M393" i="11"/>
  <c r="G394" i="11"/>
  <c r="H394" i="11"/>
  <c r="I394" i="11"/>
  <c r="M394" i="11"/>
  <c r="G395" i="11"/>
  <c r="H395" i="11"/>
  <c r="I395" i="11"/>
  <c r="M395" i="11"/>
  <c r="G396" i="11"/>
  <c r="H396" i="11"/>
  <c r="I396" i="11"/>
  <c r="M396" i="11"/>
  <c r="G397" i="11"/>
  <c r="H397" i="11"/>
  <c r="I397" i="11"/>
  <c r="M397" i="11"/>
  <c r="G398" i="11"/>
  <c r="H398" i="11"/>
  <c r="I398" i="11"/>
  <c r="M398" i="11"/>
  <c r="G399" i="11"/>
  <c r="H399" i="11"/>
  <c r="I399" i="11"/>
  <c r="M399" i="11"/>
  <c r="G400" i="11"/>
  <c r="H400" i="11"/>
  <c r="I400" i="11"/>
  <c r="M400" i="11"/>
  <c r="G401" i="11"/>
  <c r="H401" i="11"/>
  <c r="I401" i="11"/>
  <c r="M401" i="11"/>
  <c r="G354" i="11"/>
  <c r="H354" i="11"/>
  <c r="I354" i="11"/>
  <c r="M354" i="11"/>
  <c r="G355" i="11"/>
  <c r="H355" i="11"/>
  <c r="I355" i="11"/>
  <c r="M355" i="11"/>
  <c r="G356" i="11"/>
  <c r="H356" i="11"/>
  <c r="I356" i="11"/>
  <c r="M356" i="11"/>
  <c r="G357" i="11"/>
  <c r="H357" i="11"/>
  <c r="I357" i="11"/>
  <c r="M357" i="11"/>
  <c r="G358" i="11"/>
  <c r="H358" i="11"/>
  <c r="I358" i="11"/>
  <c r="M358" i="11"/>
  <c r="G359" i="11"/>
  <c r="H359" i="11"/>
  <c r="I359" i="11"/>
  <c r="M359" i="11"/>
  <c r="G360" i="11"/>
  <c r="H360" i="11"/>
  <c r="I360" i="11"/>
  <c r="M360" i="11"/>
  <c r="G361" i="11"/>
  <c r="H361" i="11"/>
  <c r="I361" i="11"/>
  <c r="M361" i="11"/>
  <c r="G362" i="11"/>
  <c r="H362" i="11"/>
  <c r="I362" i="11"/>
  <c r="M362" i="11"/>
  <c r="G363" i="11"/>
  <c r="H363" i="11"/>
  <c r="I363" i="11"/>
  <c r="M363" i="11"/>
  <c r="G364" i="11"/>
  <c r="H364" i="11"/>
  <c r="I364" i="11"/>
  <c r="M364" i="11"/>
  <c r="G365" i="11"/>
  <c r="H365" i="11"/>
  <c r="I365" i="11"/>
  <c r="M365" i="11"/>
  <c r="G366" i="11"/>
  <c r="H366" i="11"/>
  <c r="I366" i="11"/>
  <c r="M366" i="11"/>
  <c r="G367" i="11"/>
  <c r="H367" i="11"/>
  <c r="I367" i="11"/>
  <c r="M367" i="11"/>
  <c r="G368" i="11"/>
  <c r="H368" i="11"/>
  <c r="I368" i="11"/>
  <c r="M368" i="11"/>
  <c r="G369" i="11"/>
  <c r="H369" i="11"/>
  <c r="I369" i="11"/>
  <c r="M369" i="11"/>
  <c r="M433" i="11"/>
  <c r="I433" i="11"/>
  <c r="H433" i="11"/>
  <c r="G433" i="11"/>
  <c r="M432" i="11"/>
  <c r="I432" i="11"/>
  <c r="H432" i="11"/>
  <c r="G432" i="11"/>
  <c r="M431" i="11"/>
  <c r="I431" i="11"/>
  <c r="H431" i="11"/>
  <c r="G431" i="11"/>
  <c r="M430" i="11"/>
  <c r="I430" i="11"/>
  <c r="H430" i="11"/>
  <c r="G430" i="11"/>
  <c r="M429" i="11"/>
  <c r="I429" i="11"/>
  <c r="H429" i="11"/>
  <c r="G429" i="11"/>
  <c r="M428" i="11"/>
  <c r="I428" i="11"/>
  <c r="H428" i="11"/>
  <c r="G428" i="11"/>
  <c r="M427" i="11"/>
  <c r="I427" i="11"/>
  <c r="H427" i="11"/>
  <c r="G427" i="11"/>
  <c r="M426" i="11"/>
  <c r="I426" i="11"/>
  <c r="H426" i="11"/>
  <c r="G426" i="11"/>
  <c r="M425" i="11"/>
  <c r="I425" i="11"/>
  <c r="H425" i="11"/>
  <c r="G425" i="11"/>
  <c r="M424" i="11"/>
  <c r="I424" i="11"/>
  <c r="H424" i="11"/>
  <c r="G424" i="11"/>
  <c r="M423" i="11"/>
  <c r="I423" i="11"/>
  <c r="H423" i="11"/>
  <c r="G423" i="11"/>
  <c r="M422" i="11"/>
  <c r="I422" i="11"/>
  <c r="H422" i="11"/>
  <c r="G422" i="11"/>
  <c r="M421" i="11"/>
  <c r="I421" i="11"/>
  <c r="H421" i="11"/>
  <c r="G421" i="11"/>
  <c r="M420" i="11"/>
  <c r="I420" i="11"/>
  <c r="H420" i="11"/>
  <c r="G420" i="11"/>
  <c r="M419" i="11"/>
  <c r="I419" i="11"/>
  <c r="H419" i="11"/>
  <c r="G419" i="11"/>
  <c r="M418" i="11"/>
  <c r="I418" i="11"/>
  <c r="H418" i="11"/>
  <c r="G418" i="11"/>
  <c r="M417" i="11"/>
  <c r="I417" i="11"/>
  <c r="H417" i="11"/>
  <c r="G417" i="11"/>
  <c r="M416" i="11"/>
  <c r="I416" i="11"/>
  <c r="H416" i="11"/>
  <c r="G416" i="11"/>
  <c r="M415" i="11"/>
  <c r="I415" i="11"/>
  <c r="H415" i="11"/>
  <c r="G415" i="11"/>
  <c r="M414" i="11"/>
  <c r="I414" i="11"/>
  <c r="H414" i="11"/>
  <c r="G414" i="11"/>
  <c r="M413" i="11"/>
  <c r="I413" i="11"/>
  <c r="H413" i="11"/>
  <c r="G413" i="11"/>
  <c r="M412" i="11"/>
  <c r="I412" i="11"/>
  <c r="H412" i="11"/>
  <c r="G412" i="11"/>
  <c r="M411" i="11"/>
  <c r="I411" i="11"/>
  <c r="H411" i="11"/>
  <c r="G411" i="11"/>
  <c r="M410" i="11"/>
  <c r="I410" i="11"/>
  <c r="H410" i="11"/>
  <c r="G410" i="11"/>
  <c r="M409" i="11"/>
  <c r="I409" i="11"/>
  <c r="H409" i="11"/>
  <c r="G409" i="11"/>
  <c r="M408" i="11"/>
  <c r="I408" i="11"/>
  <c r="H408" i="11"/>
  <c r="G408" i="11"/>
  <c r="M407" i="11"/>
  <c r="I407" i="11"/>
  <c r="H407" i="11"/>
  <c r="G407" i="11"/>
  <c r="M406" i="11"/>
  <c r="I406" i="11"/>
  <c r="H406" i="11"/>
  <c r="G406" i="11"/>
  <c r="M405" i="11"/>
  <c r="I405" i="11"/>
  <c r="H405" i="11"/>
  <c r="G405" i="11"/>
  <c r="M404" i="11"/>
  <c r="I404" i="11"/>
  <c r="H404" i="11"/>
  <c r="G404" i="11"/>
  <c r="M403" i="11"/>
  <c r="I403" i="11"/>
  <c r="H403" i="11"/>
  <c r="G403" i="11"/>
  <c r="M402" i="11"/>
  <c r="I402" i="11"/>
  <c r="H402" i="11"/>
  <c r="G402" i="11"/>
  <c r="M385" i="11"/>
  <c r="I385" i="11"/>
  <c r="H385" i="11"/>
  <c r="G385" i="11"/>
  <c r="M384" i="11"/>
  <c r="I384" i="11"/>
  <c r="H384" i="11"/>
  <c r="G384" i="11"/>
  <c r="M383" i="11"/>
  <c r="I383" i="11"/>
  <c r="H383" i="11"/>
  <c r="G383" i="11"/>
  <c r="M382" i="11"/>
  <c r="I382" i="11"/>
  <c r="H382" i="11"/>
  <c r="G382" i="11"/>
  <c r="M381" i="11"/>
  <c r="I381" i="11"/>
  <c r="H381" i="11"/>
  <c r="G381" i="11"/>
  <c r="M380" i="11"/>
  <c r="I380" i="11"/>
  <c r="H380" i="11"/>
  <c r="G380" i="11"/>
  <c r="M379" i="11"/>
  <c r="I379" i="11"/>
  <c r="H379" i="11"/>
  <c r="G379" i="11"/>
  <c r="M378" i="11"/>
  <c r="I378" i="11"/>
  <c r="H378" i="11"/>
  <c r="G378" i="11"/>
  <c r="M377" i="11"/>
  <c r="I377" i="11"/>
  <c r="H377" i="11"/>
  <c r="G377" i="11"/>
  <c r="M376" i="11"/>
  <c r="I376" i="11"/>
  <c r="H376" i="11"/>
  <c r="G376" i="11"/>
  <c r="M375" i="11"/>
  <c r="I375" i="11"/>
  <c r="H375" i="11"/>
  <c r="G375" i="11"/>
  <c r="M374" i="11"/>
  <c r="I374" i="11"/>
  <c r="H374" i="11"/>
  <c r="G374" i="11"/>
  <c r="M373" i="11"/>
  <c r="I373" i="11"/>
  <c r="H373" i="11"/>
  <c r="G373" i="11"/>
  <c r="M372" i="11"/>
  <c r="I372" i="11"/>
  <c r="H372" i="11"/>
  <c r="G372" i="11"/>
  <c r="M371" i="11"/>
  <c r="I371" i="11"/>
  <c r="H371" i="11"/>
  <c r="G371" i="11"/>
  <c r="M370" i="11"/>
  <c r="I370" i="11"/>
  <c r="H370" i="11"/>
  <c r="G370" i="11"/>
  <c r="M353" i="11"/>
  <c r="I353" i="11"/>
  <c r="H353" i="11"/>
  <c r="G353" i="11"/>
  <c r="M352" i="11"/>
  <c r="I352" i="11"/>
  <c r="H352" i="11"/>
  <c r="G352" i="11"/>
  <c r="M351" i="11"/>
  <c r="I351" i="11"/>
  <c r="H351" i="11"/>
  <c r="G351" i="11"/>
  <c r="M350" i="11"/>
  <c r="I350" i="11"/>
  <c r="H350" i="11"/>
  <c r="G350" i="11"/>
  <c r="M349" i="11"/>
  <c r="I349" i="11"/>
  <c r="H349" i="11"/>
  <c r="G349" i="11"/>
  <c r="M348" i="11"/>
  <c r="I348" i="11"/>
  <c r="H348" i="11"/>
  <c r="G348" i="11"/>
  <c r="M347" i="11"/>
  <c r="I347" i="11"/>
  <c r="H347" i="11"/>
  <c r="G347" i="11"/>
  <c r="M346" i="11"/>
  <c r="I346" i="11"/>
  <c r="H346" i="11"/>
  <c r="G346" i="11"/>
  <c r="M345" i="11"/>
  <c r="I345" i="11"/>
  <c r="H345" i="11"/>
  <c r="G345" i="11"/>
  <c r="M344" i="11"/>
  <c r="I344" i="11"/>
  <c r="H344" i="11"/>
  <c r="G344" i="11"/>
  <c r="M343" i="11"/>
  <c r="I343" i="11"/>
  <c r="H343" i="11"/>
  <c r="G343" i="11"/>
  <c r="M342" i="11"/>
  <c r="I342" i="11"/>
  <c r="H342" i="11"/>
  <c r="G342" i="11"/>
  <c r="M341" i="11"/>
  <c r="I341" i="11"/>
  <c r="H341" i="11"/>
  <c r="G341" i="11"/>
  <c r="M340" i="11"/>
  <c r="I340" i="11"/>
  <c r="H340" i="11"/>
  <c r="G340" i="11"/>
  <c r="M339" i="11"/>
  <c r="I339" i="11"/>
  <c r="H339" i="11"/>
  <c r="G339" i="11"/>
  <c r="M338" i="11"/>
  <c r="I338" i="11"/>
  <c r="H338" i="11"/>
  <c r="G338" i="11"/>
  <c r="M337" i="11"/>
  <c r="I337" i="11"/>
  <c r="H337" i="11"/>
  <c r="G337" i="11"/>
  <c r="M336" i="11"/>
  <c r="I336" i="11"/>
  <c r="H336" i="11"/>
  <c r="G336" i="11"/>
  <c r="M335" i="11"/>
  <c r="I335" i="11"/>
  <c r="H335" i="11"/>
  <c r="G335" i="11"/>
  <c r="M334" i="11"/>
  <c r="I334" i="11"/>
  <c r="H334" i="11"/>
  <c r="G334" i="11"/>
  <c r="M333" i="11"/>
  <c r="I333" i="11"/>
  <c r="H333" i="11"/>
  <c r="G333" i="11"/>
  <c r="M332" i="11"/>
  <c r="I332" i="11"/>
  <c r="H332" i="11"/>
  <c r="G332" i="11"/>
  <c r="M331" i="11"/>
  <c r="I331" i="11"/>
  <c r="H331" i="11"/>
  <c r="G331" i="11"/>
  <c r="M330" i="11"/>
  <c r="I330" i="11"/>
  <c r="H330" i="11"/>
  <c r="G330" i="11"/>
  <c r="M329" i="11"/>
  <c r="I329" i="11"/>
  <c r="H329" i="11"/>
  <c r="G329" i="11"/>
  <c r="M328" i="11"/>
  <c r="I328" i="11"/>
  <c r="H328" i="11"/>
  <c r="G328" i="11"/>
  <c r="M327" i="11"/>
  <c r="I327" i="11"/>
  <c r="H327" i="11"/>
  <c r="G327" i="11"/>
  <c r="M326" i="11"/>
  <c r="I326" i="11"/>
  <c r="H326" i="11"/>
  <c r="G326" i="11"/>
  <c r="M325" i="11"/>
  <c r="I325" i="11"/>
  <c r="H325" i="11"/>
  <c r="G325" i="11"/>
  <c r="M324" i="11"/>
  <c r="I324" i="11"/>
  <c r="H324" i="11"/>
  <c r="G324" i="11"/>
  <c r="M323" i="11"/>
  <c r="I323" i="11"/>
  <c r="H323" i="11"/>
  <c r="G323" i="11"/>
  <c r="M322" i="11"/>
  <c r="I322" i="11"/>
  <c r="H322" i="11"/>
  <c r="G322" i="11"/>
  <c r="M321" i="11"/>
  <c r="I321" i="11"/>
  <c r="H321" i="11"/>
  <c r="G321" i="11"/>
  <c r="M320" i="11"/>
  <c r="I320" i="11"/>
  <c r="H320" i="11"/>
  <c r="G320" i="11"/>
  <c r="M319" i="11"/>
  <c r="I319" i="11"/>
  <c r="H319" i="11"/>
  <c r="G319" i="11"/>
  <c r="M318" i="11"/>
  <c r="I318" i="11"/>
  <c r="H318" i="11"/>
  <c r="G318" i="11"/>
  <c r="M317" i="11"/>
  <c r="I317" i="11"/>
  <c r="H317" i="11"/>
  <c r="G317" i="11"/>
  <c r="M316" i="11"/>
  <c r="I316" i="11"/>
  <c r="H316" i="11"/>
  <c r="G316" i="11"/>
  <c r="M315" i="11"/>
  <c r="I315" i="11"/>
  <c r="H315" i="11"/>
  <c r="G315" i="11"/>
  <c r="M314" i="11"/>
  <c r="I314" i="11"/>
  <c r="H314" i="11"/>
  <c r="G314" i="11"/>
  <c r="M313" i="11"/>
  <c r="I313" i="11"/>
  <c r="H313" i="11"/>
  <c r="G313" i="11"/>
  <c r="M312" i="11"/>
  <c r="I312" i="11"/>
  <c r="H312" i="11"/>
  <c r="G312" i="11"/>
  <c r="M311" i="11"/>
  <c r="I311" i="11"/>
  <c r="H311" i="11"/>
  <c r="G311" i="11"/>
  <c r="M310" i="11"/>
  <c r="I310" i="11"/>
  <c r="H310" i="11"/>
  <c r="G310" i="11"/>
  <c r="M309" i="11"/>
  <c r="I309" i="11"/>
  <c r="H309" i="11"/>
  <c r="G309" i="11"/>
  <c r="M308" i="11"/>
  <c r="I308" i="11"/>
  <c r="H308" i="11"/>
  <c r="G308" i="11"/>
  <c r="M307" i="11"/>
  <c r="I307" i="11"/>
  <c r="H307" i="11"/>
  <c r="G307" i="11"/>
  <c r="M306" i="11"/>
  <c r="I306" i="11"/>
  <c r="H306" i="11"/>
  <c r="G306" i="11"/>
  <c r="M305" i="11"/>
  <c r="I305" i="11"/>
  <c r="H305" i="11"/>
  <c r="G305" i="11"/>
  <c r="M304" i="11"/>
  <c r="I304" i="11"/>
  <c r="H304" i="11"/>
  <c r="G304" i="11"/>
  <c r="M303" i="11"/>
  <c r="I303" i="11"/>
  <c r="H303" i="11"/>
  <c r="G303" i="11"/>
  <c r="M302" i="11"/>
  <c r="I302" i="11"/>
  <c r="H302" i="11"/>
  <c r="G302" i="11"/>
  <c r="M301" i="11"/>
  <c r="I301" i="11"/>
  <c r="H301" i="11"/>
  <c r="G301" i="11"/>
  <c r="M300" i="11"/>
  <c r="I300" i="11"/>
  <c r="H300" i="11"/>
  <c r="G300" i="11"/>
  <c r="M299" i="11"/>
  <c r="I299" i="11"/>
  <c r="H299" i="11"/>
  <c r="G299" i="11"/>
  <c r="M298" i="11"/>
  <c r="I298" i="11"/>
  <c r="H298" i="11"/>
  <c r="G298" i="11"/>
  <c r="M297" i="11"/>
  <c r="I297" i="11"/>
  <c r="H297" i="11"/>
  <c r="G297" i="11"/>
  <c r="M296" i="11"/>
  <c r="I296" i="11"/>
  <c r="H296" i="11"/>
  <c r="G296" i="11"/>
  <c r="M295" i="11"/>
  <c r="I295" i="11"/>
  <c r="H295" i="11"/>
  <c r="G295" i="11"/>
  <c r="M294" i="11"/>
  <c r="I294" i="11"/>
  <c r="H294" i="11"/>
  <c r="G294" i="11"/>
  <c r="M293" i="11"/>
  <c r="I293" i="11"/>
  <c r="H293" i="11"/>
  <c r="G293" i="11"/>
  <c r="M292" i="11"/>
  <c r="I292" i="11"/>
  <c r="H292" i="11"/>
  <c r="G292" i="11"/>
  <c r="M291" i="11"/>
  <c r="I291" i="11"/>
  <c r="H291" i="11"/>
  <c r="G291" i="11"/>
  <c r="M290" i="11"/>
  <c r="I290" i="11"/>
  <c r="H290" i="11"/>
  <c r="G290" i="11"/>
  <c r="M289" i="11"/>
  <c r="I289" i="11"/>
  <c r="H289" i="11"/>
  <c r="G289" i="11"/>
  <c r="M288" i="11"/>
  <c r="I288" i="11"/>
  <c r="H288" i="11"/>
  <c r="G288" i="11"/>
  <c r="M287" i="11"/>
  <c r="I287" i="11"/>
  <c r="H287" i="11"/>
  <c r="G287" i="11"/>
  <c r="M286" i="11"/>
  <c r="I286" i="11"/>
  <c r="H286" i="11"/>
  <c r="G286" i="11"/>
  <c r="M285" i="11"/>
  <c r="I285" i="11"/>
  <c r="H285" i="11"/>
  <c r="G285" i="11"/>
  <c r="M284" i="11"/>
  <c r="I284" i="11"/>
  <c r="H284" i="11"/>
  <c r="G284" i="11"/>
  <c r="M283" i="11"/>
  <c r="I283" i="11"/>
  <c r="H283" i="11"/>
  <c r="G283" i="11"/>
  <c r="M282" i="11"/>
  <c r="I282" i="11"/>
  <c r="H282" i="11"/>
  <c r="G282" i="11"/>
  <c r="M281" i="11"/>
  <c r="I281" i="11"/>
  <c r="H281" i="11"/>
  <c r="G281" i="11"/>
  <c r="M280" i="11"/>
  <c r="I280" i="11"/>
  <c r="H280" i="11"/>
  <c r="G280" i="11"/>
  <c r="M279" i="11"/>
  <c r="I279" i="11"/>
  <c r="H279" i="11"/>
  <c r="G279" i="11"/>
  <c r="M278" i="11"/>
  <c r="I278" i="11"/>
  <c r="H278" i="11"/>
  <c r="G278" i="11"/>
  <c r="M277" i="11"/>
  <c r="I277" i="11"/>
  <c r="H277" i="11"/>
  <c r="G277" i="11"/>
  <c r="M276" i="11"/>
  <c r="I276" i="11"/>
  <c r="H276" i="11"/>
  <c r="G276" i="11"/>
  <c r="M275" i="11"/>
  <c r="I275" i="11"/>
  <c r="H275" i="11"/>
  <c r="G275" i="11"/>
  <c r="M274" i="11"/>
  <c r="I274" i="11"/>
  <c r="H274" i="11"/>
  <c r="G274" i="11"/>
  <c r="M273" i="11"/>
  <c r="I273" i="11"/>
  <c r="H273" i="11"/>
  <c r="G273" i="11"/>
  <c r="M272" i="11"/>
  <c r="I272" i="11"/>
  <c r="H272" i="11"/>
  <c r="G272" i="11"/>
  <c r="M271" i="11"/>
  <c r="I271" i="11"/>
  <c r="H271" i="11"/>
  <c r="G271" i="11"/>
  <c r="M270" i="11"/>
  <c r="I270" i="11"/>
  <c r="H270" i="11"/>
  <c r="G270" i="11"/>
  <c r="M269" i="11"/>
  <c r="I269" i="11"/>
  <c r="H269" i="11"/>
  <c r="G269" i="11"/>
  <c r="M268" i="11"/>
  <c r="I268" i="11"/>
  <c r="H268" i="11"/>
  <c r="G268" i="11"/>
  <c r="M267" i="11"/>
  <c r="I267" i="11"/>
  <c r="H267" i="11"/>
  <c r="G267" i="11"/>
  <c r="M266" i="11"/>
  <c r="I266" i="11"/>
  <c r="H266" i="11"/>
  <c r="G266" i="11"/>
  <c r="M265" i="11"/>
  <c r="I265" i="11"/>
  <c r="H265" i="11"/>
  <c r="G265" i="11"/>
  <c r="M264" i="11"/>
  <c r="I264" i="11"/>
  <c r="H264" i="11"/>
  <c r="G264" i="11"/>
  <c r="M263" i="11"/>
  <c r="I263" i="11"/>
  <c r="H263" i="11"/>
  <c r="G263" i="11"/>
  <c r="M262" i="11"/>
  <c r="I262" i="11"/>
  <c r="H262" i="11"/>
  <c r="G262" i="11"/>
  <c r="M261" i="11"/>
  <c r="I261" i="11"/>
  <c r="H261" i="11"/>
  <c r="G261" i="11"/>
  <c r="M260" i="11"/>
  <c r="I260" i="11"/>
  <c r="H260" i="11"/>
  <c r="G260" i="11"/>
  <c r="M259" i="11"/>
  <c r="I259" i="11"/>
  <c r="H259" i="11"/>
  <c r="G259" i="11"/>
  <c r="M258" i="11"/>
  <c r="I258" i="11"/>
  <c r="H258" i="11"/>
  <c r="G258" i="11"/>
  <c r="M257" i="11"/>
  <c r="I257" i="11"/>
  <c r="H257" i="11"/>
  <c r="G257" i="11"/>
  <c r="M256" i="11"/>
  <c r="I256" i="11"/>
  <c r="H256" i="11"/>
  <c r="G256" i="11"/>
  <c r="M255" i="11"/>
  <c r="I255" i="11"/>
  <c r="H255" i="11"/>
  <c r="G255" i="11"/>
  <c r="M254" i="11"/>
  <c r="I254" i="11"/>
  <c r="H254" i="11"/>
  <c r="G254" i="11"/>
  <c r="M253" i="11"/>
  <c r="I253" i="11"/>
  <c r="H253" i="11"/>
  <c r="G253" i="11"/>
  <c r="M252" i="11"/>
  <c r="I252" i="11"/>
  <c r="H252" i="11"/>
  <c r="G252" i="11"/>
  <c r="M251" i="11"/>
  <c r="I251" i="11"/>
  <c r="H251" i="11"/>
  <c r="G251" i="11"/>
  <c r="M250" i="11"/>
  <c r="I250" i="11"/>
  <c r="H250" i="11"/>
  <c r="G250" i="11"/>
  <c r="M249" i="11"/>
  <c r="I249" i="11"/>
  <c r="H249" i="11"/>
  <c r="G249" i="11"/>
  <c r="M248" i="11"/>
  <c r="I248" i="11"/>
  <c r="H248" i="11"/>
  <c r="G248" i="11"/>
  <c r="M247" i="11"/>
  <c r="I247" i="11"/>
  <c r="H247" i="11"/>
  <c r="G247" i="11"/>
  <c r="M246" i="11"/>
  <c r="I246" i="11"/>
  <c r="H246" i="11"/>
  <c r="G246" i="11"/>
  <c r="M245" i="11"/>
  <c r="I245" i="11"/>
  <c r="H245" i="11"/>
  <c r="G245" i="11"/>
  <c r="M244" i="11"/>
  <c r="I244" i="11"/>
  <c r="H244" i="11"/>
  <c r="G244" i="11"/>
  <c r="M243" i="11"/>
  <c r="I243" i="11"/>
  <c r="H243" i="11"/>
  <c r="G243" i="11"/>
  <c r="M242" i="11"/>
  <c r="I242" i="11"/>
  <c r="H242" i="11"/>
  <c r="G242" i="11"/>
  <c r="M241" i="11"/>
  <c r="I241" i="11"/>
  <c r="H241" i="11"/>
  <c r="G241" i="11"/>
  <c r="M240" i="11"/>
  <c r="I240" i="11"/>
  <c r="H240" i="11"/>
  <c r="G240" i="11"/>
  <c r="M239" i="11"/>
  <c r="I239" i="11"/>
  <c r="H239" i="11"/>
  <c r="G239" i="11"/>
  <c r="M238" i="11"/>
  <c r="I238" i="11"/>
  <c r="H238" i="11"/>
  <c r="G238" i="11"/>
  <c r="M237" i="11"/>
  <c r="I237" i="11"/>
  <c r="H237" i="11"/>
  <c r="G237" i="11"/>
  <c r="M236" i="11"/>
  <c r="I236" i="11"/>
  <c r="H236" i="11"/>
  <c r="G236" i="11"/>
  <c r="M235" i="11"/>
  <c r="I235" i="11"/>
  <c r="H235" i="11"/>
  <c r="G235" i="11"/>
  <c r="M234" i="11"/>
  <c r="I234" i="11"/>
  <c r="H234" i="11"/>
  <c r="G234" i="11"/>
  <c r="M233" i="11"/>
  <c r="I233" i="11"/>
  <c r="H233" i="11"/>
  <c r="G233" i="11"/>
  <c r="M232" i="11"/>
  <c r="I232" i="11"/>
  <c r="H232" i="11"/>
  <c r="G232" i="11"/>
  <c r="M231" i="11"/>
  <c r="I231" i="11"/>
  <c r="H231" i="11"/>
  <c r="G231" i="11"/>
  <c r="M230" i="11"/>
  <c r="I230" i="11"/>
  <c r="H230" i="11"/>
  <c r="G230" i="11"/>
  <c r="M229" i="11"/>
  <c r="I229" i="11"/>
  <c r="H229" i="11"/>
  <c r="G229" i="11"/>
  <c r="M228" i="11"/>
  <c r="I228" i="11"/>
  <c r="H228" i="11"/>
  <c r="G228" i="11"/>
  <c r="M227" i="11"/>
  <c r="I227" i="11"/>
  <c r="H227" i="11"/>
  <c r="G227" i="11"/>
  <c r="M226" i="11"/>
  <c r="I226" i="11"/>
  <c r="H226" i="11"/>
  <c r="G226" i="11"/>
  <c r="M225" i="11"/>
  <c r="I225" i="11"/>
  <c r="H225" i="11"/>
  <c r="G225" i="11"/>
  <c r="M224" i="11"/>
  <c r="I224" i="11"/>
  <c r="H224" i="11"/>
  <c r="G224" i="11"/>
  <c r="M223" i="11"/>
  <c r="I223" i="11"/>
  <c r="H223" i="11"/>
  <c r="G223" i="11"/>
  <c r="M222" i="11"/>
  <c r="I222" i="11"/>
  <c r="H222" i="11"/>
  <c r="G222" i="11"/>
  <c r="M221" i="11"/>
  <c r="I221" i="11"/>
  <c r="H221" i="11"/>
  <c r="G221" i="11"/>
  <c r="M220" i="11"/>
  <c r="I220" i="11"/>
  <c r="H220" i="11"/>
  <c r="G220" i="11"/>
  <c r="M219" i="11"/>
  <c r="I219" i="11"/>
  <c r="H219" i="11"/>
  <c r="G219" i="11"/>
  <c r="M218" i="11"/>
  <c r="I218" i="11"/>
  <c r="H218" i="11"/>
  <c r="G218" i="11"/>
  <c r="M217" i="11"/>
  <c r="I217" i="11"/>
  <c r="H217" i="11"/>
  <c r="G217" i="11"/>
  <c r="M216" i="11"/>
  <c r="I216" i="11"/>
  <c r="H216" i="11"/>
  <c r="G216" i="11"/>
  <c r="M215" i="11"/>
  <c r="I215" i="11"/>
  <c r="H215" i="11"/>
  <c r="G215" i="11"/>
  <c r="M214" i="11"/>
  <c r="I214" i="11"/>
  <c r="H214" i="11"/>
  <c r="G214" i="11"/>
  <c r="M213" i="11"/>
  <c r="I213" i="11"/>
  <c r="H213" i="11"/>
  <c r="G213" i="11"/>
  <c r="M212" i="11"/>
  <c r="I212" i="11"/>
  <c r="H212" i="11"/>
  <c r="G212" i="11"/>
  <c r="M211" i="11"/>
  <c r="I211" i="11"/>
  <c r="H211" i="11"/>
  <c r="G211" i="11"/>
  <c r="M210" i="11"/>
  <c r="I210" i="11"/>
  <c r="H210" i="11"/>
  <c r="G210" i="11"/>
  <c r="M209" i="11"/>
  <c r="I209" i="11"/>
  <c r="H209" i="11"/>
  <c r="G209" i="11"/>
  <c r="M208" i="11"/>
  <c r="I208" i="11"/>
  <c r="H208" i="11"/>
  <c r="G208" i="11"/>
  <c r="M207" i="11"/>
  <c r="I207" i="11"/>
  <c r="H207" i="11"/>
  <c r="G207" i="11"/>
  <c r="M206" i="11"/>
  <c r="I206" i="11"/>
  <c r="H206" i="11"/>
  <c r="G206" i="11"/>
  <c r="M205" i="11"/>
  <c r="I205" i="11"/>
  <c r="H205" i="11"/>
  <c r="G205" i="11"/>
  <c r="M204" i="11"/>
  <c r="I204" i="11"/>
  <c r="H204" i="11"/>
  <c r="G204" i="11"/>
  <c r="M203" i="11"/>
  <c r="I203" i="11"/>
  <c r="H203" i="11"/>
  <c r="G203" i="11"/>
  <c r="M202" i="11"/>
  <c r="I202" i="11"/>
  <c r="H202" i="11"/>
  <c r="G202" i="11"/>
  <c r="M201" i="11"/>
  <c r="I201" i="11"/>
  <c r="H201" i="11"/>
  <c r="G201" i="11"/>
  <c r="M200" i="11"/>
  <c r="I200" i="11"/>
  <c r="H200" i="11"/>
  <c r="G200" i="11"/>
  <c r="M199" i="11"/>
  <c r="I199" i="11"/>
  <c r="H199" i="11"/>
  <c r="G199" i="11"/>
  <c r="M198" i="11"/>
  <c r="I198" i="11"/>
  <c r="H198" i="11"/>
  <c r="G198" i="11"/>
  <c r="M197" i="11"/>
  <c r="I197" i="11"/>
  <c r="H197" i="11"/>
  <c r="G197" i="11"/>
  <c r="M196" i="11"/>
  <c r="I196" i="11"/>
  <c r="H196" i="11"/>
  <c r="G196" i="11"/>
  <c r="M195" i="11"/>
  <c r="I195" i="11"/>
  <c r="H195" i="11"/>
  <c r="G195" i="11"/>
  <c r="M194" i="11"/>
  <c r="I194" i="11"/>
  <c r="H194" i="11"/>
  <c r="G194" i="11"/>
  <c r="M193" i="11"/>
  <c r="I193" i="11"/>
  <c r="H193" i="11"/>
  <c r="G193" i="11"/>
  <c r="M192" i="11"/>
  <c r="I192" i="11"/>
  <c r="H192" i="11"/>
  <c r="G192" i="11"/>
  <c r="M191" i="11"/>
  <c r="I191" i="11"/>
  <c r="H191" i="11"/>
  <c r="G191" i="11"/>
  <c r="M190" i="11"/>
  <c r="I190" i="11"/>
  <c r="H190" i="11"/>
  <c r="G190" i="11"/>
  <c r="M189" i="11"/>
  <c r="I189" i="11"/>
  <c r="H189" i="11"/>
  <c r="G189" i="11"/>
  <c r="M188" i="11"/>
  <c r="I188" i="11"/>
  <c r="H188" i="11"/>
  <c r="G188" i="11"/>
  <c r="M187" i="11"/>
  <c r="I187" i="11"/>
  <c r="H187" i="11"/>
  <c r="G187" i="11"/>
  <c r="M186" i="11"/>
  <c r="I186" i="11"/>
  <c r="H186" i="11"/>
  <c r="G186" i="11"/>
  <c r="M185" i="11"/>
  <c r="I185" i="11"/>
  <c r="H185" i="11"/>
  <c r="G185" i="11"/>
  <c r="M184" i="11"/>
  <c r="I184" i="11"/>
  <c r="H184" i="11"/>
  <c r="G184" i="11"/>
  <c r="M183" i="11"/>
  <c r="I183" i="11"/>
  <c r="H183" i="11"/>
  <c r="G183" i="11"/>
  <c r="M182" i="11"/>
  <c r="I182" i="11"/>
  <c r="H182" i="11"/>
  <c r="G182" i="11"/>
  <c r="M181" i="11"/>
  <c r="I181" i="11"/>
  <c r="H181" i="11"/>
  <c r="G181" i="11"/>
  <c r="M180" i="11"/>
  <c r="I180" i="11"/>
  <c r="H180" i="11"/>
  <c r="G180" i="11"/>
  <c r="M179" i="11"/>
  <c r="I179" i="11"/>
  <c r="H179" i="11"/>
  <c r="G179" i="11"/>
  <c r="M178" i="11"/>
  <c r="I178" i="11"/>
  <c r="H178" i="11"/>
  <c r="G178" i="11"/>
  <c r="M177" i="11"/>
  <c r="I177" i="11"/>
  <c r="H177" i="11"/>
  <c r="G177" i="11"/>
  <c r="M176" i="11"/>
  <c r="I176" i="11"/>
  <c r="H176" i="11"/>
  <c r="G176" i="11"/>
  <c r="M175" i="11"/>
  <c r="I175" i="11"/>
  <c r="H175" i="11"/>
  <c r="G175" i="11"/>
  <c r="M174" i="11"/>
  <c r="I174" i="11"/>
  <c r="H174" i="11"/>
  <c r="G174" i="11"/>
  <c r="M173" i="11"/>
  <c r="I173" i="11"/>
  <c r="H173" i="11"/>
  <c r="G173" i="11"/>
  <c r="M172" i="11"/>
  <c r="I172" i="11"/>
  <c r="H172" i="11"/>
  <c r="G172" i="11"/>
  <c r="M171" i="11"/>
  <c r="I171" i="11"/>
  <c r="H171" i="11"/>
  <c r="G171" i="11"/>
  <c r="M170" i="11"/>
  <c r="I170" i="11"/>
  <c r="H170" i="11"/>
  <c r="G170" i="11"/>
  <c r="M169" i="11"/>
  <c r="I169" i="11"/>
  <c r="H169" i="11"/>
  <c r="G169" i="11"/>
  <c r="M168" i="11"/>
  <c r="I168" i="11"/>
  <c r="H168" i="11"/>
  <c r="G168" i="11"/>
  <c r="M167" i="11"/>
  <c r="I167" i="11"/>
  <c r="H167" i="11"/>
  <c r="G167" i="11"/>
  <c r="M166" i="11"/>
  <c r="I166" i="11"/>
  <c r="H166" i="11"/>
  <c r="G166" i="11"/>
  <c r="M165" i="11"/>
  <c r="I165" i="11"/>
  <c r="H165" i="11"/>
  <c r="G165" i="11"/>
  <c r="M164" i="11"/>
  <c r="I164" i="11"/>
  <c r="H164" i="11"/>
  <c r="G164" i="11"/>
  <c r="M163" i="11"/>
  <c r="I163" i="11"/>
  <c r="H163" i="11"/>
  <c r="G163" i="11"/>
  <c r="M162" i="11"/>
  <c r="I162" i="11"/>
  <c r="H162" i="11"/>
  <c r="G162" i="11"/>
  <c r="M161" i="11"/>
  <c r="I161" i="11"/>
  <c r="H161" i="11"/>
  <c r="G161" i="11"/>
  <c r="M160" i="11"/>
  <c r="I160" i="11"/>
  <c r="H160" i="11"/>
  <c r="G160" i="11"/>
  <c r="M159" i="11"/>
  <c r="I159" i="11"/>
  <c r="H159" i="11"/>
  <c r="G159" i="11"/>
  <c r="M158" i="11"/>
  <c r="I158" i="11"/>
  <c r="H158" i="11"/>
  <c r="G158" i="11"/>
  <c r="M157" i="11"/>
  <c r="I157" i="11"/>
  <c r="H157" i="11"/>
  <c r="G157" i="11"/>
  <c r="M156" i="11"/>
  <c r="I156" i="11"/>
  <c r="H156" i="11"/>
  <c r="G156" i="11"/>
  <c r="M155" i="11"/>
  <c r="I155" i="11"/>
  <c r="H155" i="11"/>
  <c r="G155" i="11"/>
  <c r="M154" i="11"/>
  <c r="I154" i="11"/>
  <c r="H154" i="11"/>
  <c r="G154" i="11"/>
  <c r="M153" i="11"/>
  <c r="I153" i="11"/>
  <c r="H153" i="11"/>
  <c r="G153" i="11"/>
  <c r="M152" i="11"/>
  <c r="I152" i="11"/>
  <c r="H152" i="11"/>
  <c r="G152" i="11"/>
  <c r="M151" i="11"/>
  <c r="I151" i="11"/>
  <c r="H151" i="11"/>
  <c r="G151" i="11"/>
  <c r="M150" i="11"/>
  <c r="I150" i="11"/>
  <c r="H150" i="11"/>
  <c r="G150" i="11"/>
  <c r="M149" i="11"/>
  <c r="I149" i="11"/>
  <c r="H149" i="11"/>
  <c r="G149" i="11"/>
  <c r="M148" i="11"/>
  <c r="I148" i="11"/>
  <c r="H148" i="11"/>
  <c r="G148" i="11"/>
  <c r="M147" i="11"/>
  <c r="I147" i="11"/>
  <c r="H147" i="11"/>
  <c r="G147" i="11"/>
  <c r="M146" i="11"/>
  <c r="I146" i="11"/>
  <c r="H146" i="11"/>
  <c r="G146" i="11"/>
  <c r="M145" i="11"/>
  <c r="I145" i="11"/>
  <c r="H145" i="11"/>
  <c r="G145" i="11"/>
  <c r="M144" i="11"/>
  <c r="I144" i="11"/>
  <c r="H144" i="11"/>
  <c r="G144" i="11"/>
  <c r="M143" i="11"/>
  <c r="I143" i="11"/>
  <c r="H143" i="11"/>
  <c r="G143" i="11"/>
  <c r="M142" i="11"/>
  <c r="I142" i="11"/>
  <c r="H142" i="11"/>
  <c r="G142" i="11"/>
  <c r="M141" i="11"/>
  <c r="I141" i="11"/>
  <c r="H141" i="11"/>
  <c r="G141" i="11"/>
  <c r="M140" i="11"/>
  <c r="I140" i="11"/>
  <c r="H140" i="11"/>
  <c r="G140" i="11"/>
  <c r="M139" i="11"/>
  <c r="I139" i="11"/>
  <c r="H139" i="11"/>
  <c r="G139" i="11"/>
  <c r="M138" i="11"/>
  <c r="I138" i="11"/>
  <c r="H138" i="11"/>
  <c r="G138" i="11"/>
  <c r="M137" i="11"/>
  <c r="I137" i="11"/>
  <c r="H137" i="11"/>
  <c r="G137" i="11"/>
  <c r="M136" i="11"/>
  <c r="I136" i="11"/>
  <c r="H136" i="11"/>
  <c r="G136" i="11"/>
  <c r="M135" i="11"/>
  <c r="I135" i="11"/>
  <c r="H135" i="11"/>
  <c r="G135" i="11"/>
  <c r="M134" i="11"/>
  <c r="I134" i="11"/>
  <c r="H134" i="11"/>
  <c r="G134" i="11"/>
  <c r="M133" i="11"/>
  <c r="I133" i="11"/>
  <c r="H133" i="11"/>
  <c r="G133" i="11"/>
  <c r="M132" i="11"/>
  <c r="I132" i="11"/>
  <c r="H132" i="11"/>
  <c r="G132" i="11"/>
  <c r="M131" i="11"/>
  <c r="I131" i="11"/>
  <c r="H131" i="11"/>
  <c r="G131" i="11"/>
  <c r="M130" i="11"/>
  <c r="I130" i="11"/>
  <c r="H130" i="11"/>
  <c r="G130" i="11"/>
  <c r="M129" i="11"/>
  <c r="I129" i="11"/>
  <c r="H129" i="11"/>
  <c r="G129" i="11"/>
  <c r="M128" i="11"/>
  <c r="I128" i="11"/>
  <c r="H128" i="11"/>
  <c r="G128" i="11"/>
  <c r="M127" i="11"/>
  <c r="I127" i="11"/>
  <c r="H127" i="11"/>
  <c r="G127" i="11"/>
  <c r="M126" i="11"/>
  <c r="I126" i="11"/>
  <c r="H126" i="11"/>
  <c r="G126" i="11"/>
  <c r="M125" i="11"/>
  <c r="I125" i="11"/>
  <c r="H125" i="11"/>
  <c r="G125" i="11"/>
  <c r="M124" i="11"/>
  <c r="I124" i="11"/>
  <c r="H124" i="11"/>
  <c r="G124" i="11"/>
  <c r="M123" i="11"/>
  <c r="I123" i="11"/>
  <c r="H123" i="11"/>
  <c r="G123" i="11"/>
  <c r="M122" i="11"/>
  <c r="I122" i="11"/>
  <c r="H122" i="11"/>
  <c r="G122" i="11"/>
  <c r="M121" i="11"/>
  <c r="I121" i="11"/>
  <c r="H121" i="11"/>
  <c r="G121" i="11"/>
  <c r="M120" i="11"/>
  <c r="I120" i="11"/>
  <c r="H120" i="11"/>
  <c r="G120" i="11"/>
  <c r="M119" i="11"/>
  <c r="I119" i="11"/>
  <c r="H119" i="11"/>
  <c r="G119" i="11"/>
  <c r="M118" i="11"/>
  <c r="I118" i="11"/>
  <c r="H118" i="11"/>
  <c r="G118" i="11"/>
  <c r="M117" i="11"/>
  <c r="I117" i="11"/>
  <c r="H117" i="11"/>
  <c r="G117" i="11"/>
  <c r="M116" i="11"/>
  <c r="I116" i="11"/>
  <c r="H116" i="11"/>
  <c r="G116" i="11"/>
  <c r="M115" i="11"/>
  <c r="I115" i="11"/>
  <c r="H115" i="11"/>
  <c r="G115" i="11"/>
  <c r="M114" i="11"/>
  <c r="I114" i="11"/>
  <c r="H114" i="11"/>
  <c r="G114" i="11"/>
  <c r="M113" i="11"/>
  <c r="I113" i="11"/>
  <c r="H113" i="11"/>
  <c r="G113" i="11"/>
  <c r="M112" i="11"/>
  <c r="I112" i="11"/>
  <c r="H112" i="11"/>
  <c r="G112" i="11"/>
  <c r="M111" i="11"/>
  <c r="I111" i="11"/>
  <c r="H111" i="11"/>
  <c r="G111" i="11"/>
  <c r="M110" i="11"/>
  <c r="I110" i="11"/>
  <c r="H110" i="11"/>
  <c r="G110" i="11"/>
  <c r="M109" i="11"/>
  <c r="I109" i="11"/>
  <c r="H109" i="11"/>
  <c r="G109" i="11"/>
  <c r="M108" i="11"/>
  <c r="I108" i="11"/>
  <c r="H108" i="11"/>
  <c r="G108" i="11"/>
  <c r="M107" i="11"/>
  <c r="I107" i="11"/>
  <c r="H107" i="11"/>
  <c r="G107" i="11"/>
  <c r="M106" i="11"/>
  <c r="I106" i="11"/>
  <c r="H106" i="11"/>
  <c r="G106" i="11"/>
  <c r="M105" i="11"/>
  <c r="I105" i="11"/>
  <c r="H105" i="11"/>
  <c r="G105" i="11"/>
  <c r="M104" i="11"/>
  <c r="I104" i="11"/>
  <c r="H104" i="11"/>
  <c r="G104" i="11"/>
  <c r="M103" i="11"/>
  <c r="I103" i="11"/>
  <c r="H103" i="11"/>
  <c r="G103" i="11"/>
  <c r="M102" i="11"/>
  <c r="I102" i="11"/>
  <c r="H102" i="11"/>
  <c r="G102" i="11"/>
  <c r="M101" i="11"/>
  <c r="I101" i="11"/>
  <c r="H101" i="11"/>
  <c r="G101" i="11"/>
  <c r="M100" i="11"/>
  <c r="I100" i="11"/>
  <c r="H100" i="11"/>
  <c r="G100" i="11"/>
  <c r="M99" i="11"/>
  <c r="I99" i="11"/>
  <c r="H99" i="11"/>
  <c r="G99" i="11"/>
  <c r="M98" i="11"/>
  <c r="I98" i="11"/>
  <c r="H98" i="11"/>
  <c r="G98" i="11"/>
  <c r="M97" i="11"/>
  <c r="I97" i="11"/>
  <c r="H97" i="11"/>
  <c r="G97" i="11"/>
  <c r="M96" i="11"/>
  <c r="I96" i="11"/>
  <c r="H96" i="11"/>
  <c r="G96" i="11"/>
  <c r="M95" i="11"/>
  <c r="I95" i="11"/>
  <c r="H95" i="11"/>
  <c r="G95" i="11"/>
  <c r="M94" i="11"/>
  <c r="I94" i="11"/>
  <c r="H94" i="11"/>
  <c r="G94" i="11"/>
  <c r="M93" i="11"/>
  <c r="I93" i="11"/>
  <c r="H93" i="11"/>
  <c r="G93" i="11"/>
  <c r="M92" i="11"/>
  <c r="I92" i="11"/>
  <c r="H92" i="11"/>
  <c r="G92" i="11"/>
  <c r="M91" i="11"/>
  <c r="I91" i="11"/>
  <c r="H91" i="11"/>
  <c r="G91" i="11"/>
  <c r="M90" i="11"/>
  <c r="I90" i="11"/>
  <c r="H90" i="11"/>
  <c r="G90" i="11"/>
  <c r="M89" i="11"/>
  <c r="I89" i="11"/>
  <c r="H89" i="11"/>
  <c r="G89" i="11"/>
  <c r="M88" i="11"/>
  <c r="I88" i="11"/>
  <c r="H88" i="11"/>
  <c r="G88" i="11"/>
  <c r="M87" i="11"/>
  <c r="I87" i="11"/>
  <c r="H87" i="11"/>
  <c r="G87" i="11"/>
  <c r="M86" i="11"/>
  <c r="I86" i="11"/>
  <c r="H86" i="11"/>
  <c r="G86" i="11"/>
  <c r="M85" i="11"/>
  <c r="I85" i="11"/>
  <c r="H85" i="11"/>
  <c r="G85" i="11"/>
  <c r="M84" i="11"/>
  <c r="I84" i="11"/>
  <c r="H84" i="11"/>
  <c r="G84" i="11"/>
  <c r="M83" i="11"/>
  <c r="I83" i="11"/>
  <c r="H83" i="11"/>
  <c r="G83" i="11"/>
  <c r="M82" i="11"/>
  <c r="I82" i="11"/>
  <c r="H82" i="11"/>
  <c r="G82" i="11"/>
  <c r="M81" i="11"/>
  <c r="I81" i="11"/>
  <c r="H81" i="11"/>
  <c r="G81" i="11"/>
  <c r="M80" i="11"/>
  <c r="I80" i="11"/>
  <c r="H80" i="11"/>
  <c r="G80" i="11"/>
  <c r="M79" i="11"/>
  <c r="I79" i="11"/>
  <c r="H79" i="11"/>
  <c r="G79" i="11"/>
  <c r="M78" i="11"/>
  <c r="I78" i="11"/>
  <c r="H78" i="11"/>
  <c r="G78" i="11"/>
  <c r="M77" i="11"/>
  <c r="I77" i="11"/>
  <c r="H77" i="11"/>
  <c r="G77" i="11"/>
  <c r="M76" i="11"/>
  <c r="I76" i="11"/>
  <c r="H76" i="11"/>
  <c r="G76" i="11"/>
  <c r="M75" i="11"/>
  <c r="I75" i="11"/>
  <c r="H75" i="11"/>
  <c r="G75" i="11"/>
  <c r="M74" i="11"/>
  <c r="I74" i="11"/>
  <c r="H74" i="11"/>
  <c r="G74" i="11"/>
  <c r="M73" i="11"/>
  <c r="I73" i="11"/>
  <c r="H73" i="11"/>
  <c r="G73" i="11"/>
  <c r="M72" i="11"/>
  <c r="I72" i="11"/>
  <c r="H72" i="11"/>
  <c r="G72" i="11"/>
  <c r="M71" i="11"/>
  <c r="I71" i="11"/>
  <c r="H71" i="11"/>
  <c r="G71" i="11"/>
  <c r="M70" i="11"/>
  <c r="I70" i="11"/>
  <c r="H70" i="11"/>
  <c r="G70" i="11"/>
  <c r="M69" i="11"/>
  <c r="I69" i="11"/>
  <c r="H69" i="11"/>
  <c r="G69" i="11"/>
  <c r="M68" i="11"/>
  <c r="I68" i="11"/>
  <c r="H68" i="11"/>
  <c r="G68" i="11"/>
  <c r="M67" i="11"/>
  <c r="I67" i="11"/>
  <c r="H67" i="11"/>
  <c r="G67" i="11"/>
  <c r="M66" i="11"/>
  <c r="I66" i="11"/>
  <c r="H66" i="11"/>
  <c r="G66" i="11"/>
  <c r="M65" i="11"/>
  <c r="I65" i="11"/>
  <c r="H65" i="11"/>
  <c r="G65" i="11"/>
  <c r="M64" i="11"/>
  <c r="I64" i="11"/>
  <c r="H64" i="11"/>
  <c r="G64" i="11"/>
  <c r="M63" i="11"/>
  <c r="I63" i="11"/>
  <c r="H63" i="11"/>
  <c r="G63" i="11"/>
  <c r="M62" i="11"/>
  <c r="I62" i="11"/>
  <c r="H62" i="11"/>
  <c r="G62" i="11"/>
  <c r="M61" i="11"/>
  <c r="I61" i="11"/>
  <c r="H61" i="11"/>
  <c r="G61" i="11"/>
  <c r="M60" i="11"/>
  <c r="I60" i="11"/>
  <c r="H60" i="11"/>
  <c r="G60" i="11"/>
  <c r="M59" i="11"/>
  <c r="I59" i="11"/>
  <c r="H59" i="11"/>
  <c r="G59" i="11"/>
  <c r="M58" i="11"/>
  <c r="I58" i="11"/>
  <c r="H58" i="11"/>
  <c r="G58" i="11"/>
  <c r="M57" i="11"/>
  <c r="I57" i="11"/>
  <c r="H57" i="11"/>
  <c r="G57" i="11"/>
  <c r="M56" i="11"/>
  <c r="I56" i="11"/>
  <c r="H56" i="11"/>
  <c r="G56" i="11"/>
  <c r="M55" i="11"/>
  <c r="I55" i="11"/>
  <c r="H55" i="11"/>
  <c r="G55" i="11"/>
  <c r="M54" i="11"/>
  <c r="I54" i="11"/>
  <c r="H54" i="11"/>
  <c r="G54" i="11"/>
  <c r="M53" i="11"/>
  <c r="I53" i="11"/>
  <c r="H53" i="11"/>
  <c r="G53" i="11"/>
  <c r="M52" i="11"/>
  <c r="I52" i="11"/>
  <c r="H52" i="11"/>
  <c r="G52" i="11"/>
  <c r="M51" i="11"/>
  <c r="I51" i="11"/>
  <c r="H51" i="11"/>
  <c r="G51" i="11"/>
  <c r="M50" i="11"/>
  <c r="I50" i="11"/>
  <c r="H50" i="11"/>
  <c r="G50" i="11"/>
  <c r="M49" i="11"/>
  <c r="I49" i="11"/>
  <c r="H49" i="11"/>
  <c r="G49" i="11"/>
  <c r="M48" i="11"/>
  <c r="I48" i="11"/>
  <c r="H48" i="11"/>
  <c r="G48" i="11"/>
  <c r="M47" i="11"/>
  <c r="I47" i="11"/>
  <c r="H47" i="11"/>
  <c r="G47" i="11"/>
  <c r="M46" i="11"/>
  <c r="I46" i="11"/>
  <c r="H46" i="11"/>
  <c r="G46" i="11"/>
  <c r="M45" i="11"/>
  <c r="I45" i="11"/>
  <c r="H45" i="11"/>
  <c r="G45" i="11"/>
  <c r="M44" i="11"/>
  <c r="I44" i="11"/>
  <c r="H44" i="11"/>
  <c r="G44" i="11"/>
  <c r="M43" i="11"/>
  <c r="I43" i="11"/>
  <c r="H43" i="11"/>
  <c r="G43" i="11"/>
  <c r="M42" i="11"/>
  <c r="I42" i="11"/>
  <c r="H42" i="11"/>
  <c r="G42" i="11"/>
  <c r="M41" i="11"/>
  <c r="I41" i="11"/>
  <c r="H41" i="11"/>
  <c r="G41" i="11"/>
  <c r="M40" i="11"/>
  <c r="I40" i="11"/>
  <c r="H40" i="11"/>
  <c r="G40" i="11"/>
  <c r="M39" i="11"/>
  <c r="I39" i="11"/>
  <c r="H39" i="11"/>
  <c r="G39" i="11"/>
  <c r="M38" i="11"/>
  <c r="I38" i="11"/>
  <c r="H38" i="11"/>
  <c r="G38" i="11"/>
  <c r="M37" i="11"/>
  <c r="I37" i="11"/>
  <c r="H37" i="11"/>
  <c r="G37" i="11"/>
  <c r="M36" i="11"/>
  <c r="I36" i="11"/>
  <c r="H36" i="11"/>
  <c r="G36" i="11"/>
  <c r="M35" i="11"/>
  <c r="I35" i="11"/>
  <c r="H35" i="11"/>
  <c r="G35" i="11"/>
  <c r="M34" i="11"/>
  <c r="I34" i="11"/>
  <c r="H34" i="11"/>
  <c r="G34" i="11"/>
  <c r="M33" i="11"/>
  <c r="I33" i="11"/>
  <c r="H33" i="11"/>
  <c r="G33" i="11"/>
  <c r="M32" i="11"/>
  <c r="I32" i="11"/>
  <c r="H32" i="11"/>
  <c r="G32" i="11"/>
  <c r="M31" i="11"/>
  <c r="I31" i="11"/>
  <c r="H31" i="11"/>
  <c r="G31" i="11"/>
  <c r="M30" i="11"/>
  <c r="I30" i="11"/>
  <c r="H30" i="11"/>
  <c r="G30" i="11"/>
  <c r="M29" i="11"/>
  <c r="I29" i="11"/>
  <c r="H29" i="11"/>
  <c r="G29" i="11"/>
  <c r="M28" i="11"/>
  <c r="I28" i="11"/>
  <c r="H28" i="11"/>
  <c r="G28" i="11"/>
  <c r="M27" i="11"/>
  <c r="I27" i="11"/>
  <c r="H27" i="11"/>
  <c r="G27" i="11"/>
  <c r="M26" i="11"/>
  <c r="I26" i="11"/>
  <c r="H26" i="11"/>
  <c r="G26" i="11"/>
  <c r="M25" i="11"/>
  <c r="I25" i="11"/>
  <c r="H25" i="11"/>
  <c r="G25" i="11"/>
  <c r="M24" i="11"/>
  <c r="I24" i="11"/>
  <c r="H24" i="11"/>
  <c r="G24" i="11"/>
  <c r="M23" i="11"/>
  <c r="I23" i="11"/>
  <c r="H23" i="11"/>
  <c r="G23" i="11"/>
  <c r="M22" i="11"/>
  <c r="I22" i="11"/>
  <c r="H22" i="11"/>
  <c r="G22" i="11"/>
  <c r="M21" i="11"/>
  <c r="I21" i="11"/>
  <c r="H21" i="11"/>
  <c r="G21" i="11"/>
  <c r="M20" i="11"/>
  <c r="I20" i="11"/>
  <c r="H20" i="11"/>
  <c r="G20" i="11"/>
  <c r="M19" i="11"/>
  <c r="I19" i="11"/>
  <c r="H19" i="11"/>
  <c r="G19" i="11"/>
  <c r="M18" i="11"/>
  <c r="I18" i="11"/>
  <c r="H18" i="11"/>
  <c r="G18" i="11"/>
  <c r="M17" i="11"/>
  <c r="I17" i="11"/>
  <c r="H17" i="11"/>
  <c r="G17" i="11"/>
  <c r="M16" i="11"/>
  <c r="I16" i="11"/>
  <c r="H16" i="11"/>
  <c r="G16" i="11"/>
  <c r="M15" i="11"/>
  <c r="I15" i="11"/>
  <c r="H15" i="11"/>
  <c r="G15" i="11"/>
  <c r="M14" i="11"/>
  <c r="I14" i="11"/>
  <c r="H14" i="11"/>
  <c r="G14" i="11"/>
  <c r="M13" i="11"/>
  <c r="I13" i="11"/>
  <c r="H13" i="11"/>
  <c r="G13" i="11"/>
  <c r="M12" i="11"/>
  <c r="I12" i="11"/>
  <c r="H12" i="11"/>
  <c r="G12" i="11"/>
  <c r="M11" i="11"/>
  <c r="I11" i="11"/>
  <c r="H11" i="11"/>
  <c r="G11" i="11"/>
  <c r="M10" i="11"/>
  <c r="I10" i="11"/>
  <c r="H10" i="11"/>
  <c r="G10" i="11"/>
  <c r="M9" i="11"/>
  <c r="I9" i="11"/>
  <c r="H9" i="11"/>
  <c r="G9" i="11"/>
  <c r="M8" i="11"/>
  <c r="I8" i="11"/>
  <c r="H8" i="11"/>
  <c r="G8" i="11"/>
  <c r="M7" i="11"/>
  <c r="I7" i="11"/>
  <c r="H7" i="11"/>
  <c r="G7" i="11"/>
  <c r="M6" i="11"/>
  <c r="I6" i="11"/>
  <c r="H6" i="11"/>
  <c r="G6" i="11"/>
  <c r="M5" i="11"/>
  <c r="I5" i="11"/>
  <c r="H5" i="11"/>
  <c r="G5" i="11"/>
  <c r="M4" i="11"/>
  <c r="I4" i="11"/>
  <c r="H4" i="11"/>
  <c r="G4" i="11"/>
  <c r="M3" i="11"/>
  <c r="I3" i="11"/>
  <c r="H3" i="11"/>
  <c r="G3" i="11"/>
  <c r="M2" i="11"/>
  <c r="I2" i="11"/>
  <c r="H2" i="11"/>
  <c r="G2" i="11"/>
</calcChain>
</file>

<file path=xl/sharedStrings.xml><?xml version="1.0" encoding="utf-8"?>
<sst xmlns="http://schemas.openxmlformats.org/spreadsheetml/2006/main" count="973" uniqueCount="135">
  <si>
    <t>Worldwide Governance Indicators website (https://info.worldbank.org/governance/wgi/)</t>
  </si>
  <si>
    <t>Source</t>
  </si>
  <si>
    <t>Economic Policy &amp; Debt: National accounts: US$ at current prices: Aggregate indicators</t>
  </si>
  <si>
    <t>Notes from original source</t>
  </si>
  <si>
    <t>Japan</t>
  </si>
  <si>
    <t>Indicator Name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</si>
  <si>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</si>
  <si>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</si>
  <si>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Gap-filled total</t>
  </si>
  <si>
    <t>United Kingdom</t>
  </si>
  <si>
    <t>Czechia</t>
  </si>
  <si>
    <t>FIN</t>
  </si>
  <si>
    <t>BEL</t>
  </si>
  <si>
    <t>GDP (current US$)</t>
  </si>
  <si>
    <t>Patent applications are worldwide patent applications filed through the Patent Cooperation Treaty procedure or with a national patent office.</t>
  </si>
  <si>
    <t>NY.GDS.TOTL.CD</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</si>
  <si>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</si>
  <si>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Expenditure on research and development (R&amp;D) is a key indicator of government and private sector efforts to obtain competitive advantage in science and technology.</t>
  </si>
  <si>
    <t>Infrastructure: Technology</t>
  </si>
  <si>
    <t>Portugal</t>
  </si>
  <si>
    <t>Code</t>
  </si>
  <si>
    <t>ESP</t>
  </si>
  <si>
    <t>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</si>
  <si>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https://datacatalog.worldbank.org/public-licenses#cc-by</t>
  </si>
  <si>
    <t>Slovak Republic</t>
  </si>
  <si>
    <t>CZE</t>
  </si>
  <si>
    <t>SWE</t>
  </si>
  <si>
    <t>Sum</t>
  </si>
  <si>
    <t>POL</t>
  </si>
  <si>
    <t>Korea, Rep.</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</si>
  <si>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</si>
  <si>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JPN</t>
  </si>
  <si>
    <t>Finland</t>
  </si>
  <si>
    <t>SL.TLF.TOTL.IN</t>
  </si>
  <si>
    <t>Research and development expenditure (% of GDP)</t>
  </si>
  <si>
    <t>Canada</t>
  </si>
  <si>
    <t>License URL</t>
  </si>
  <si>
    <t>FRA</t>
  </si>
  <si>
    <t>Labor force, total</t>
  </si>
  <si>
    <t>NOR</t>
  </si>
  <si>
    <t>Periodicity</t>
  </si>
  <si>
    <t>Other notes</t>
  </si>
  <si>
    <t>GRC</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</si>
  <si>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</si>
  <si>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Singapore</t>
  </si>
  <si>
    <t>SVK</t>
  </si>
  <si>
    <t>CC.EST</t>
  </si>
  <si>
    <t>Given the exceptional situation, including the scarcity of relevant data, the  ILO modeled estimates and projections from 2020 onwards are subject to substantial uncertainty.</t>
  </si>
  <si>
    <t>Greece</t>
  </si>
  <si>
    <t>GBR</t>
  </si>
  <si>
    <t>Croatia</t>
  </si>
  <si>
    <t>Annual</t>
  </si>
  <si>
    <t>Luxembourg</t>
  </si>
  <si>
    <t>RQ.EST</t>
  </si>
  <si>
    <t>France</t>
  </si>
  <si>
    <t>Latvia</t>
  </si>
  <si>
    <t>License Type</t>
  </si>
  <si>
    <t>Long definition</t>
  </si>
  <si>
    <t>Gross domestic savings (current US$)</t>
  </si>
  <si>
    <t>NY.GDP.MKTP.CD</t>
  </si>
  <si>
    <t>NLD</t>
  </si>
  <si>
    <t>Gross domestic savings are calculated as GDP less final consumption expenditure (total consumption). Data are in current U.S. dollars.</t>
  </si>
  <si>
    <t>LUX</t>
  </si>
  <si>
    <t>Social Protection &amp; Labor: Labor force structure</t>
  </si>
  <si>
    <t>IP.PAT.NRES</t>
  </si>
  <si>
    <t>Spain</t>
  </si>
  <si>
    <t>United States</t>
  </si>
  <si>
    <t>Belgium</t>
  </si>
  <si>
    <t>USA</t>
  </si>
  <si>
    <t>Norway</t>
  </si>
  <si>
    <t>PRT</t>
  </si>
  <si>
    <t>DEU</t>
  </si>
  <si>
    <t>Denmark</t>
  </si>
  <si>
    <t>Development relevance</t>
  </si>
  <si>
    <t>CAN</t>
  </si>
  <si>
    <t>DNK</t>
  </si>
  <si>
    <t>SGP</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</si>
  <si>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</si>
  <si>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Topic</t>
  </si>
  <si>
    <t>Weighted average</t>
  </si>
  <si>
    <t>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</si>
  <si>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The Worldwide Governance Indicators (WGI) are a research dataset summarizing the views on the quality of governance provided by a large number of enterprise, citizen and expert survey respondents in industrial and developing countries. These data are gathered from a number of survey institutes, think tanks, non-governmental organizations, international organizations, and private sector firms. The WGI do not reflect the official views of the Natural Resource Governance Institute, the Brookings Institution, the World Bank, its Executive Directors, or the countries they represent. The WGI are not used by the World Bank Group to allocate resources.</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</si>
  <si>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</si>
  <si>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UNESCO Institute for Statistics (UIS). UIS.Stat Bulk Data Download Service. Accessed September 30, 2024. https://apiportal.uis.unesco.org/bdds.</t>
  </si>
  <si>
    <t>Aggregation method</t>
  </si>
  <si>
    <t>AUT</t>
  </si>
  <si>
    <t>Related source links</t>
  </si>
  <si>
    <t>KOR</t>
  </si>
  <si>
    <t>GB.XPD.RSDV.GD.ZS</t>
  </si>
  <si>
    <t>CC BY-4.0</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</si>
  <si>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</si>
  <si>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ISR</t>
  </si>
  <si>
    <t>Public Sector: Policy &amp; institutions</t>
  </si>
  <si>
    <t>Patent applications, nonresidents</t>
  </si>
  <si>
    <t>World Bank national accounts data, and OECD National Accounts data files.</t>
  </si>
  <si>
    <t>Israel</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</si>
  <si>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</si>
  <si>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World Intellectual Property Organization (WIPO), WIPO Patent Report: Statistics on Worldwide Patent Activity. The International Bureau of WIPO assumes no responsibility with respect to the transformation of these data.</t>
  </si>
  <si>
    <t>World Bank, World Development Indicators database. Estimates are based on data obtained from International Labour Organization and United Nations Population Division.</t>
  </si>
  <si>
    <t>Limitations and exceptions</t>
  </si>
  <si>
    <t>Statistical concept and methodology</t>
  </si>
  <si>
    <t>Short definition</t>
  </si>
  <si>
    <t>Sweden</t>
  </si>
  <si>
    <t>HRV</t>
  </si>
  <si>
    <t>Austria</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</si>
  <si>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</si>
  <si>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LVA</t>
  </si>
  <si>
    <t>Poland</t>
  </si>
  <si>
    <t>Netherlands</t>
  </si>
  <si>
    <t>Germany</t>
  </si>
  <si>
    <t>NY.GDP.DEFL.KD.ZG</t>
  </si>
  <si>
    <t>Inflation, GDP deflator (annual %)</t>
  </si>
  <si>
    <t>Inflation as measured by the annual growth rate of the GDP implicit deflator shows the rate of price change in the economy as a whole. The GDP implicit deflator is the ratio of GDP in current local currency to GDP in constant local currency.</t>
  </si>
  <si>
    <t>Financial Sector: Exchange rates &amp; prices</t>
  </si>
  <si>
    <t>Median</t>
  </si>
  <si>
    <t>Name</t>
  </si>
  <si>
    <t>Id</t>
  </si>
  <si>
    <t>time</t>
  </si>
  <si>
    <t>Bulgaria</t>
  </si>
  <si>
    <t>BGR</t>
  </si>
  <si>
    <t>Romania</t>
  </si>
  <si>
    <t>ROU</t>
  </si>
  <si>
    <t>gdp</t>
  </si>
  <si>
    <t>lab</t>
  </si>
  <si>
    <t>sav</t>
  </si>
  <si>
    <t>lngdp</t>
  </si>
  <si>
    <t>lnsav</t>
  </si>
  <si>
    <t>lnlab</t>
  </si>
  <si>
    <t>rnd</t>
  </si>
  <si>
    <t>pt</t>
  </si>
  <si>
    <t>lnpt</t>
  </si>
  <si>
    <t>hdi</t>
  </si>
  <si>
    <t>rglt</t>
  </si>
  <si>
    <t>crpt</t>
  </si>
  <si>
    <t>lnkpl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</si>
</sst>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1A560-B2A8-410E-AFD7-F1C45C419582}">
  <dimension ref="A1:P433"/>
  <sheetViews>
    <sheetView tabSelected="1" workbookViewId="0">
      <pane ySplit="1" topLeftCell="A383" activePane="bottomLeft" state="frozen"/>
      <selection pane="bottomLeft" activeCell="M398" sqref="M398"/>
    </sheetView>
  </sheetViews>
  <sheetFormatPr defaultRowHeight="15" x14ac:dyDescent="0.25"/>
  <cols>
    <col min="1" max="1" width="15.42578125" bestFit="1" customWidth="1"/>
    <col min="2" max="2" width="5" bestFit="1" customWidth="1"/>
    <col min="3" max="3" width="7.42578125" bestFit="1" customWidth="1"/>
    <col min="4" max="5" width="12" bestFit="1" customWidth="1"/>
    <col min="6" max="6" width="10" bestFit="1" customWidth="1"/>
    <col min="7" max="9" width="12" bestFit="1" customWidth="1"/>
    <col min="10" max="10" width="12" customWidth="1"/>
    <col min="11" max="11" width="12" bestFit="1" customWidth="1"/>
    <col min="12" max="12" width="7" bestFit="1" customWidth="1"/>
    <col min="13" max="13" width="12" bestFit="1" customWidth="1"/>
    <col min="14" max="14" width="8.5703125" bestFit="1" customWidth="1"/>
    <col min="15" max="15" width="12" bestFit="1" customWidth="1"/>
    <col min="16" max="16" width="12.7109375" bestFit="1" customWidth="1"/>
  </cols>
  <sheetData>
    <row r="1" spans="1:16" x14ac:dyDescent="0.25">
      <c r="A1" t="s">
        <v>115</v>
      </c>
      <c r="B1" s="1" t="s">
        <v>116</v>
      </c>
      <c r="C1" t="s">
        <v>117</v>
      </c>
      <c r="D1" t="s">
        <v>122</v>
      </c>
      <c r="E1" t="s">
        <v>124</v>
      </c>
      <c r="F1" t="s">
        <v>123</v>
      </c>
      <c r="G1" t="s">
        <v>125</v>
      </c>
      <c r="H1" t="s">
        <v>126</v>
      </c>
      <c r="I1" t="s">
        <v>127</v>
      </c>
      <c r="J1" t="s">
        <v>134</v>
      </c>
      <c r="K1" t="s">
        <v>128</v>
      </c>
      <c r="L1" t="s">
        <v>129</v>
      </c>
      <c r="M1" t="s">
        <v>130</v>
      </c>
      <c r="N1" t="s">
        <v>131</v>
      </c>
      <c r="O1" t="s">
        <v>132</v>
      </c>
      <c r="P1" t="s">
        <v>133</v>
      </c>
    </row>
    <row r="2" spans="1:16" x14ac:dyDescent="0.25">
      <c r="A2" t="s">
        <v>104</v>
      </c>
      <c r="B2" s="1" t="s">
        <v>85</v>
      </c>
      <c r="C2">
        <v>2005</v>
      </c>
      <c r="D2">
        <v>316092273276.01544</v>
      </c>
      <c r="E2">
        <v>84851808527.937698</v>
      </c>
      <c r="F2">
        <v>4039517</v>
      </c>
      <c r="G2">
        <f>LN(D2)</f>
        <v>26.479300011946464</v>
      </c>
      <c r="H2">
        <f t="shared" ref="H2:I17" si="0">LN(E2)</f>
        <v>25.164172142812436</v>
      </c>
      <c r="I2">
        <f t="shared" si="0"/>
        <v>15.211635688334683</v>
      </c>
      <c r="J2">
        <f>H2-I2</f>
        <v>9.9525364544777535</v>
      </c>
      <c r="K2">
        <v>2.37323999404907</v>
      </c>
      <c r="L2">
        <v>235</v>
      </c>
      <c r="M2">
        <f>LN(L2)</f>
        <v>5.4595855141441589</v>
      </c>
      <c r="N2" s="2">
        <v>0.88900000000000001</v>
      </c>
      <c r="O2">
        <v>1.60495746135712</v>
      </c>
      <c r="P2">
        <v>1.9124234914779701</v>
      </c>
    </row>
    <row r="3" spans="1:16" x14ac:dyDescent="0.25">
      <c r="A3" t="s">
        <v>104</v>
      </c>
      <c r="B3" s="1" t="s">
        <v>85</v>
      </c>
      <c r="C3">
        <v>2006</v>
      </c>
      <c r="D3">
        <v>336280064332.41132</v>
      </c>
      <c r="E3">
        <v>92565997271.541046</v>
      </c>
      <c r="F3">
        <v>4106995</v>
      </c>
      <c r="G3">
        <f t="shared" ref="G3:I49" si="1">LN(D3)</f>
        <v>26.541210174519577</v>
      </c>
      <c r="H3">
        <f t="shared" si="0"/>
        <v>25.251187711072735</v>
      </c>
      <c r="I3">
        <f t="shared" si="0"/>
        <v>15.228202175504304</v>
      </c>
      <c r="J3">
        <f t="shared" ref="J3:J66" si="2">H3-I3</f>
        <v>10.022985535568431</v>
      </c>
      <c r="K3">
        <v>2.3592300415039098</v>
      </c>
      <c r="L3">
        <v>378</v>
      </c>
      <c r="M3">
        <f t="shared" ref="M3:M66" si="3">LN(L3)</f>
        <v>5.934894195619588</v>
      </c>
      <c r="N3" s="2">
        <v>0.89300000000000002</v>
      </c>
      <c r="O3">
        <v>1.6444110870361299</v>
      </c>
      <c r="P3">
        <v>1.9048769474029501</v>
      </c>
    </row>
    <row r="4" spans="1:16" x14ac:dyDescent="0.25">
      <c r="A4" t="s">
        <v>104</v>
      </c>
      <c r="B4" s="1" t="s">
        <v>85</v>
      </c>
      <c r="C4">
        <v>2007</v>
      </c>
      <c r="D4">
        <v>389185571506.05225</v>
      </c>
      <c r="E4">
        <v>113795793840.92194</v>
      </c>
      <c r="F4">
        <v>4193552</v>
      </c>
      <c r="G4">
        <f t="shared" si="1"/>
        <v>26.687322114387239</v>
      </c>
      <c r="H4">
        <f t="shared" si="0"/>
        <v>25.457671396979485</v>
      </c>
      <c r="I4">
        <f t="shared" si="0"/>
        <v>15.2490586654728</v>
      </c>
      <c r="J4">
        <f t="shared" si="2"/>
        <v>10.208612731506685</v>
      </c>
      <c r="K4">
        <v>2.4184300899505602</v>
      </c>
      <c r="L4">
        <v>287</v>
      </c>
      <c r="M4">
        <f t="shared" si="3"/>
        <v>5.6594822157596214</v>
      </c>
      <c r="N4" s="2">
        <v>0.89600000000000002</v>
      </c>
      <c r="O4">
        <v>1.6911638975143399</v>
      </c>
      <c r="P4">
        <v>2.00334525108337</v>
      </c>
    </row>
    <row r="5" spans="1:16" x14ac:dyDescent="0.25">
      <c r="A5" t="s">
        <v>104</v>
      </c>
      <c r="B5" s="1" t="s">
        <v>85</v>
      </c>
      <c r="C5">
        <v>2008</v>
      </c>
      <c r="D5">
        <v>432051935642.94519</v>
      </c>
      <c r="E5">
        <v>124874213630.67966</v>
      </c>
      <c r="F5">
        <v>4236995</v>
      </c>
      <c r="G5">
        <f t="shared" si="1"/>
        <v>26.791811639360215</v>
      </c>
      <c r="H5">
        <f t="shared" si="0"/>
        <v>25.550572776643488</v>
      </c>
      <c r="I5">
        <f t="shared" si="0"/>
        <v>15.259364849527755</v>
      </c>
      <c r="J5">
        <f t="shared" si="2"/>
        <v>10.291207927115734</v>
      </c>
      <c r="K5">
        <v>2.5694499015808101</v>
      </c>
      <c r="L5">
        <v>329</v>
      </c>
      <c r="M5">
        <f t="shared" si="3"/>
        <v>5.7960577507653719</v>
      </c>
      <c r="N5" s="2">
        <v>0.89900000000000002</v>
      </c>
      <c r="O5">
        <v>1.60645174980164</v>
      </c>
      <c r="P5">
        <v>1.8287581205368</v>
      </c>
    </row>
    <row r="6" spans="1:16" x14ac:dyDescent="0.25">
      <c r="A6" t="s">
        <v>104</v>
      </c>
      <c r="B6" s="1" t="s">
        <v>85</v>
      </c>
      <c r="C6">
        <v>2009</v>
      </c>
      <c r="D6">
        <v>401758735822.21069</v>
      </c>
      <c r="E6">
        <v>103791241506.63664</v>
      </c>
      <c r="F6">
        <v>4278874</v>
      </c>
      <c r="G6">
        <f t="shared" si="1"/>
        <v>26.719117585751299</v>
      </c>
      <c r="H6">
        <f t="shared" si="0"/>
        <v>25.36564742556935</v>
      </c>
      <c r="I6">
        <f t="shared" si="0"/>
        <v>15.269200448833134</v>
      </c>
      <c r="J6">
        <f t="shared" si="2"/>
        <v>10.096446976736216</v>
      </c>
      <c r="K6">
        <v>2.59674000740051</v>
      </c>
      <c r="L6">
        <v>292</v>
      </c>
      <c r="M6">
        <f t="shared" si="3"/>
        <v>5.6767538022682817</v>
      </c>
      <c r="N6" s="2">
        <v>0.89800000000000002</v>
      </c>
      <c r="O6">
        <v>1.4500185251236</v>
      </c>
      <c r="P6">
        <v>1.6940340995788601</v>
      </c>
    </row>
    <row r="7" spans="1:16" x14ac:dyDescent="0.25">
      <c r="A7" t="s">
        <v>104</v>
      </c>
      <c r="B7" s="1" t="s">
        <v>85</v>
      </c>
      <c r="C7">
        <v>2010</v>
      </c>
      <c r="D7">
        <v>392275107258.66742</v>
      </c>
      <c r="E7">
        <v>102013247898.83353</v>
      </c>
      <c r="F7">
        <v>4294774</v>
      </c>
      <c r="G7">
        <f t="shared" si="1"/>
        <v>26.695229234818736</v>
      </c>
      <c r="H7">
        <f t="shared" si="0"/>
        <v>25.348368523157941</v>
      </c>
      <c r="I7">
        <f t="shared" si="0"/>
        <v>15.272909492691252</v>
      </c>
      <c r="J7">
        <f t="shared" si="2"/>
        <v>10.075459030466689</v>
      </c>
      <c r="K7">
        <v>2.7260999679565399</v>
      </c>
      <c r="L7">
        <v>249</v>
      </c>
      <c r="M7">
        <f t="shared" si="3"/>
        <v>5.5174528964647074</v>
      </c>
      <c r="N7" s="2">
        <v>0.90300000000000002</v>
      </c>
      <c r="O7">
        <v>1.4505158662796001</v>
      </c>
      <c r="P7">
        <v>1.5961220264434799</v>
      </c>
    </row>
    <row r="8" spans="1:16" x14ac:dyDescent="0.25">
      <c r="A8" t="s">
        <v>104</v>
      </c>
      <c r="B8" s="1" t="s">
        <v>85</v>
      </c>
      <c r="C8">
        <v>2011</v>
      </c>
      <c r="D8">
        <v>431685217367.51056</v>
      </c>
      <c r="E8">
        <v>115362230818.9691</v>
      </c>
      <c r="F8">
        <v>4323161</v>
      </c>
      <c r="G8">
        <f t="shared" si="1"/>
        <v>26.790962496085108</v>
      </c>
      <c r="H8">
        <f t="shared" si="0"/>
        <v>25.471342848185891</v>
      </c>
      <c r="I8">
        <f t="shared" si="0"/>
        <v>15.279497405611842</v>
      </c>
      <c r="J8">
        <f t="shared" si="2"/>
        <v>10.191845442574049</v>
      </c>
      <c r="K8">
        <v>2.66867995262146</v>
      </c>
      <c r="L8">
        <v>276</v>
      </c>
      <c r="M8">
        <f t="shared" si="3"/>
        <v>5.6204008657171496</v>
      </c>
      <c r="N8" s="2">
        <v>0.90700000000000003</v>
      </c>
      <c r="O8">
        <v>1.3769768476486199</v>
      </c>
      <c r="P8">
        <v>1.4702893495559699</v>
      </c>
    </row>
    <row r="9" spans="1:16" x14ac:dyDescent="0.25">
      <c r="A9" t="s">
        <v>104</v>
      </c>
      <c r="B9" s="1" t="s">
        <v>85</v>
      </c>
      <c r="C9">
        <v>2012</v>
      </c>
      <c r="D9">
        <v>409401816050.53131</v>
      </c>
      <c r="E9">
        <v>109226334635.22659</v>
      </c>
      <c r="F9">
        <v>4371757</v>
      </c>
      <c r="G9">
        <f t="shared" si="1"/>
        <v>26.737962946046839</v>
      </c>
      <c r="H9">
        <f t="shared" si="0"/>
        <v>25.416688030846146</v>
      </c>
      <c r="I9">
        <f t="shared" si="0"/>
        <v>15.29067554576408</v>
      </c>
      <c r="J9">
        <f t="shared" si="2"/>
        <v>10.126012485082066</v>
      </c>
      <c r="K9">
        <v>2.9147200584411599</v>
      </c>
      <c r="L9">
        <v>294</v>
      </c>
      <c r="M9">
        <f t="shared" si="3"/>
        <v>5.6835797673386814</v>
      </c>
      <c r="N9" s="2">
        <v>0.90900000000000003</v>
      </c>
      <c r="O9">
        <v>1.5171647071838399</v>
      </c>
      <c r="P9">
        <v>1.4272544384002701</v>
      </c>
    </row>
    <row r="10" spans="1:16" x14ac:dyDescent="0.25">
      <c r="A10" t="s">
        <v>104</v>
      </c>
      <c r="B10" s="1" t="s">
        <v>85</v>
      </c>
      <c r="C10">
        <v>2013</v>
      </c>
      <c r="D10">
        <v>430190979705.96198</v>
      </c>
      <c r="E10">
        <v>113661590227.03561</v>
      </c>
      <c r="F10">
        <v>4414478</v>
      </c>
      <c r="G10">
        <f t="shared" si="1"/>
        <v>26.787495085884629</v>
      </c>
      <c r="H10">
        <f t="shared" si="0"/>
        <v>25.456491363805281</v>
      </c>
      <c r="I10">
        <f t="shared" si="0"/>
        <v>15.300400151734507</v>
      </c>
      <c r="J10">
        <f t="shared" si="2"/>
        <v>10.156091212070773</v>
      </c>
      <c r="K10">
        <v>2.9549200534820601</v>
      </c>
      <c r="L10">
        <v>244</v>
      </c>
      <c r="M10">
        <f t="shared" si="3"/>
        <v>5.4971682252932021</v>
      </c>
      <c r="N10" s="2">
        <v>0.90700000000000003</v>
      </c>
      <c r="O10">
        <v>1.4822137355804399</v>
      </c>
      <c r="P10">
        <v>1.5372409820556601</v>
      </c>
    </row>
    <row r="11" spans="1:16" x14ac:dyDescent="0.25">
      <c r="A11" t="s">
        <v>104</v>
      </c>
      <c r="B11" s="1" t="s">
        <v>85</v>
      </c>
      <c r="C11">
        <v>2014</v>
      </c>
      <c r="D11">
        <v>442584815286.03375</v>
      </c>
      <c r="E11">
        <v>118615843492.83488</v>
      </c>
      <c r="F11">
        <v>4438256</v>
      </c>
      <c r="G11">
        <f t="shared" si="1"/>
        <v>26.81589795599027</v>
      </c>
      <c r="H11">
        <f t="shared" si="0"/>
        <v>25.499155902217304</v>
      </c>
      <c r="I11">
        <f t="shared" si="0"/>
        <v>15.305772064452318</v>
      </c>
      <c r="J11">
        <f t="shared" si="2"/>
        <v>10.193383837764985</v>
      </c>
      <c r="K11">
        <v>3.08429002761841</v>
      </c>
      <c r="L11">
        <v>271</v>
      </c>
      <c r="M11">
        <f t="shared" si="3"/>
        <v>5.602118820879701</v>
      </c>
      <c r="N11" s="2">
        <v>0.91100000000000003</v>
      </c>
      <c r="O11">
        <v>1.4821701049804701</v>
      </c>
      <c r="P11">
        <v>1.4667490720748899</v>
      </c>
    </row>
    <row r="12" spans="1:16" x14ac:dyDescent="0.25">
      <c r="A12" t="s">
        <v>104</v>
      </c>
      <c r="B12" s="1" t="s">
        <v>85</v>
      </c>
      <c r="C12">
        <v>2015</v>
      </c>
      <c r="D12">
        <v>381971148530.54279</v>
      </c>
      <c r="E12">
        <v>105253973654.52728</v>
      </c>
      <c r="F12">
        <v>4490374</v>
      </c>
      <c r="G12">
        <f t="shared" si="1"/>
        <v>26.668610915293691</v>
      </c>
      <c r="H12">
        <f t="shared" si="0"/>
        <v>25.379642063233536</v>
      </c>
      <c r="I12">
        <f t="shared" si="0"/>
        <v>15.317446552463309</v>
      </c>
      <c r="J12">
        <f t="shared" si="2"/>
        <v>10.062195510770227</v>
      </c>
      <c r="K12">
        <v>3.0496900081634499</v>
      </c>
      <c r="L12">
        <v>236</v>
      </c>
      <c r="M12">
        <f t="shared" si="3"/>
        <v>5.4638318050256105</v>
      </c>
      <c r="N12" s="2">
        <v>0.91</v>
      </c>
      <c r="O12">
        <v>1.3904470205307</v>
      </c>
      <c r="P12">
        <v>1.47238004207611</v>
      </c>
    </row>
    <row r="13" spans="1:16" x14ac:dyDescent="0.25">
      <c r="A13" t="s">
        <v>104</v>
      </c>
      <c r="B13" s="1" t="s">
        <v>85</v>
      </c>
      <c r="C13">
        <v>2016</v>
      </c>
      <c r="D13">
        <v>395837353031.49902</v>
      </c>
      <c r="E13">
        <v>111179009008.36603</v>
      </c>
      <c r="F13">
        <v>4573321</v>
      </c>
      <c r="G13">
        <f t="shared" si="1"/>
        <v>26.704269239162482</v>
      </c>
      <c r="H13">
        <f t="shared" si="0"/>
        <v>25.434407433033613</v>
      </c>
      <c r="I13">
        <f t="shared" si="0"/>
        <v>15.335750194797264</v>
      </c>
      <c r="J13">
        <f t="shared" si="2"/>
        <v>10.098657238236349</v>
      </c>
      <c r="K13">
        <v>3.1165499687194802</v>
      </c>
      <c r="L13">
        <v>237</v>
      </c>
      <c r="M13">
        <f t="shared" si="3"/>
        <v>5.4680601411351315</v>
      </c>
      <c r="N13" s="2">
        <v>0.91300000000000003</v>
      </c>
      <c r="O13">
        <v>1.4288901090621899</v>
      </c>
      <c r="P13">
        <v>1.4969680309295701</v>
      </c>
    </row>
    <row r="14" spans="1:16" x14ac:dyDescent="0.25">
      <c r="A14" t="s">
        <v>104</v>
      </c>
      <c r="B14" s="1" t="s">
        <v>85</v>
      </c>
      <c r="C14">
        <v>2017</v>
      </c>
      <c r="D14">
        <v>417261151844.97717</v>
      </c>
      <c r="E14">
        <v>116839806162.30609</v>
      </c>
      <c r="F14">
        <v>4600302</v>
      </c>
      <c r="G14">
        <f t="shared" si="1"/>
        <v>26.756978126141327</v>
      </c>
      <c r="H14">
        <f t="shared" si="0"/>
        <v>25.484069655463429</v>
      </c>
      <c r="I14">
        <f t="shared" si="0"/>
        <v>15.341632511478227</v>
      </c>
      <c r="J14">
        <f t="shared" si="2"/>
        <v>10.142437143985202</v>
      </c>
      <c r="K14">
        <v>3.0565600395202601</v>
      </c>
      <c r="L14">
        <v>232</v>
      </c>
      <c r="M14">
        <f t="shared" si="3"/>
        <v>5.4467373716663099</v>
      </c>
      <c r="N14" s="2">
        <v>0.91400000000000003</v>
      </c>
      <c r="O14">
        <v>1.42753410339355</v>
      </c>
      <c r="P14">
        <v>1.5004628896713299</v>
      </c>
    </row>
    <row r="15" spans="1:16" x14ac:dyDescent="0.25">
      <c r="A15" t="s">
        <v>104</v>
      </c>
      <c r="B15" s="1" t="s">
        <v>85</v>
      </c>
      <c r="C15">
        <v>2018</v>
      </c>
      <c r="D15">
        <v>454991174096.10162</v>
      </c>
      <c r="E15">
        <v>130704962853.82736</v>
      </c>
      <c r="F15">
        <v>4638625</v>
      </c>
      <c r="G15">
        <f t="shared" si="1"/>
        <v>26.843543858118242</v>
      </c>
      <c r="H15">
        <f t="shared" si="0"/>
        <v>25.596208428193318</v>
      </c>
      <c r="I15">
        <f t="shared" si="0"/>
        <v>15.349928544079292</v>
      </c>
      <c r="J15">
        <f t="shared" si="2"/>
        <v>10.246279884114026</v>
      </c>
      <c r="K15">
        <v>3.0918200016021702</v>
      </c>
      <c r="L15">
        <v>168</v>
      </c>
      <c r="M15">
        <f t="shared" si="3"/>
        <v>5.1239639794032588</v>
      </c>
      <c r="N15" s="2">
        <v>0.91700000000000004</v>
      </c>
      <c r="O15">
        <v>1.5240364074707</v>
      </c>
      <c r="P15">
        <v>1.56836605072021</v>
      </c>
    </row>
    <row r="16" spans="1:16" x14ac:dyDescent="0.25">
      <c r="A16" t="s">
        <v>104</v>
      </c>
      <c r="B16" s="1" t="s">
        <v>85</v>
      </c>
      <c r="C16">
        <v>2019</v>
      </c>
      <c r="D16">
        <v>444596155845.25421</v>
      </c>
      <c r="E16">
        <v>128858501599.37234</v>
      </c>
      <c r="F16">
        <v>4658940</v>
      </c>
      <c r="G16">
        <f t="shared" si="1"/>
        <v>26.820432192117163</v>
      </c>
      <c r="H16">
        <f t="shared" si="0"/>
        <v>25.581980752460886</v>
      </c>
      <c r="I16">
        <f t="shared" si="0"/>
        <v>15.354298512415943</v>
      </c>
      <c r="J16">
        <f t="shared" si="2"/>
        <v>10.227682240044944</v>
      </c>
      <c r="K16">
        <v>3.1324698925018302</v>
      </c>
      <c r="L16">
        <v>208</v>
      </c>
      <c r="M16">
        <f t="shared" si="3"/>
        <v>5.3375380797013179</v>
      </c>
      <c r="N16" s="2">
        <v>0.92</v>
      </c>
      <c r="O16">
        <v>1.4464073181152299</v>
      </c>
      <c r="P16">
        <v>1.5214090347289999</v>
      </c>
    </row>
    <row r="17" spans="1:16" x14ac:dyDescent="0.25">
      <c r="A17" t="s">
        <v>104</v>
      </c>
      <c r="B17" s="1" t="s">
        <v>85</v>
      </c>
      <c r="C17">
        <v>2020</v>
      </c>
      <c r="D17">
        <v>435049316955.73663</v>
      </c>
      <c r="E17">
        <v>126618206767.39339</v>
      </c>
      <c r="F17">
        <v>4641353</v>
      </c>
      <c r="G17">
        <f t="shared" si="1"/>
        <v>26.79872523392098</v>
      </c>
      <c r="H17">
        <f t="shared" si="0"/>
        <v>25.564442149644883</v>
      </c>
      <c r="I17">
        <f t="shared" si="0"/>
        <v>15.350516476524515</v>
      </c>
      <c r="J17">
        <f t="shared" si="2"/>
        <v>10.213925673120368</v>
      </c>
      <c r="K17">
        <v>3.2014899253845202</v>
      </c>
      <c r="L17">
        <v>173</v>
      </c>
      <c r="M17">
        <f t="shared" si="3"/>
        <v>5.1532915944977793</v>
      </c>
      <c r="N17" s="2">
        <v>0.91600000000000004</v>
      </c>
      <c r="O17">
        <v>1.3952273130416899</v>
      </c>
      <c r="P17">
        <v>1.47778916358948</v>
      </c>
    </row>
    <row r="18" spans="1:16" x14ac:dyDescent="0.25">
      <c r="A18" t="s">
        <v>67</v>
      </c>
      <c r="B18" s="1" t="s">
        <v>12</v>
      </c>
      <c r="C18">
        <v>2005</v>
      </c>
      <c r="D18">
        <v>385714762230.03876</v>
      </c>
      <c r="E18">
        <v>106911146374.47466</v>
      </c>
      <c r="F18">
        <v>4626679</v>
      </c>
      <c r="G18">
        <f t="shared" si="1"/>
        <v>26.678363975293966</v>
      </c>
      <c r="H18">
        <f t="shared" si="1"/>
        <v>25.395263918713646</v>
      </c>
      <c r="I18">
        <f t="shared" si="1"/>
        <v>15.347349890077322</v>
      </c>
      <c r="J18">
        <f t="shared" si="2"/>
        <v>10.047914028636324</v>
      </c>
      <c r="K18">
        <v>1.79060995578766</v>
      </c>
      <c r="L18">
        <v>105</v>
      </c>
      <c r="M18">
        <f t="shared" si="3"/>
        <v>4.6539603501575231</v>
      </c>
      <c r="N18" s="2">
        <v>0.90100000000000002</v>
      </c>
      <c r="O18">
        <v>1.27136194705963</v>
      </c>
      <c r="P18">
        <v>1.3771624565124501</v>
      </c>
    </row>
    <row r="19" spans="1:16" x14ac:dyDescent="0.25">
      <c r="A19" t="s">
        <v>67</v>
      </c>
      <c r="B19" s="1" t="s">
        <v>12</v>
      </c>
      <c r="C19">
        <v>2006</v>
      </c>
      <c r="D19">
        <v>408259840868.82294</v>
      </c>
      <c r="E19">
        <v>114365967721.41161</v>
      </c>
      <c r="F19">
        <v>4646803</v>
      </c>
      <c r="G19">
        <f t="shared" si="1"/>
        <v>26.735169673512768</v>
      </c>
      <c r="H19">
        <f t="shared" si="1"/>
        <v>25.462669386681988</v>
      </c>
      <c r="I19">
        <f t="shared" si="1"/>
        <v>15.351690014226826</v>
      </c>
      <c r="J19">
        <f t="shared" si="2"/>
        <v>10.110979372455162</v>
      </c>
      <c r="K19">
        <v>1.8226900100707999</v>
      </c>
      <c r="L19">
        <v>161</v>
      </c>
      <c r="M19">
        <f t="shared" si="3"/>
        <v>5.0814043649844631</v>
      </c>
      <c r="N19" s="2">
        <v>0.90400000000000003</v>
      </c>
      <c r="O19">
        <v>1.3299378156662001</v>
      </c>
      <c r="P19">
        <v>1.30128657817841</v>
      </c>
    </row>
    <row r="20" spans="1:16" x14ac:dyDescent="0.25">
      <c r="A20" t="s">
        <v>67</v>
      </c>
      <c r="B20" s="1" t="s">
        <v>12</v>
      </c>
      <c r="C20">
        <v>2007</v>
      </c>
      <c r="D20">
        <v>470922156309.45251</v>
      </c>
      <c r="E20">
        <v>135335665707.17691</v>
      </c>
      <c r="F20">
        <v>4728844</v>
      </c>
      <c r="G20">
        <f t="shared" si="1"/>
        <v>26.877958644075367</v>
      </c>
      <c r="H20">
        <f t="shared" si="1"/>
        <v>25.63102394202101</v>
      </c>
      <c r="I20">
        <f t="shared" si="1"/>
        <v>15.369191333135186</v>
      </c>
      <c r="J20">
        <f t="shared" si="2"/>
        <v>10.261832608885824</v>
      </c>
      <c r="K20">
        <v>1.8499900102615401</v>
      </c>
      <c r="L20">
        <v>163</v>
      </c>
      <c r="M20">
        <f t="shared" si="3"/>
        <v>5.0937502008067623</v>
      </c>
      <c r="N20" s="2">
        <v>0.90700000000000003</v>
      </c>
      <c r="O20">
        <v>1.42054414749146</v>
      </c>
      <c r="P20">
        <v>1.3474153280258201</v>
      </c>
    </row>
    <row r="21" spans="1:16" x14ac:dyDescent="0.25">
      <c r="A21" t="s">
        <v>67</v>
      </c>
      <c r="B21" s="1" t="s">
        <v>12</v>
      </c>
      <c r="C21">
        <v>2008</v>
      </c>
      <c r="D21">
        <v>517328087920.078</v>
      </c>
      <c r="E21">
        <v>137658740835.23434</v>
      </c>
      <c r="F21">
        <v>4777353</v>
      </c>
      <c r="G21">
        <f t="shared" si="1"/>
        <v>26.971943109640318</v>
      </c>
      <c r="H21">
        <f t="shared" si="1"/>
        <v>25.648043566956552</v>
      </c>
      <c r="I21">
        <f t="shared" si="1"/>
        <v>15.379397185392413</v>
      </c>
      <c r="J21">
        <f t="shared" si="2"/>
        <v>10.268646381564139</v>
      </c>
      <c r="K21">
        <v>1.93684005737305</v>
      </c>
      <c r="L21">
        <v>133</v>
      </c>
      <c r="M21">
        <f t="shared" si="3"/>
        <v>4.8903491282217537</v>
      </c>
      <c r="N21" s="2">
        <v>0.90900000000000003</v>
      </c>
      <c r="O21">
        <v>1.4056702852249101</v>
      </c>
      <c r="P21">
        <v>1.36263751983643</v>
      </c>
    </row>
    <row r="22" spans="1:16" x14ac:dyDescent="0.25">
      <c r="A22" t="s">
        <v>67</v>
      </c>
      <c r="B22" s="1" t="s">
        <v>12</v>
      </c>
      <c r="C22">
        <v>2009</v>
      </c>
      <c r="D22">
        <v>483254171097.81219</v>
      </c>
      <c r="E22">
        <v>118084372009.57024</v>
      </c>
      <c r="F22">
        <v>4797213</v>
      </c>
      <c r="G22">
        <f t="shared" si="1"/>
        <v>26.903808586343306</v>
      </c>
      <c r="H22">
        <f t="shared" si="1"/>
        <v>25.494665222939442</v>
      </c>
      <c r="I22">
        <f t="shared" si="1"/>
        <v>15.383545682250148</v>
      </c>
      <c r="J22">
        <f t="shared" si="2"/>
        <v>10.111119540689295</v>
      </c>
      <c r="K22">
        <v>1.9986000061035201</v>
      </c>
      <c r="L22">
        <v>148</v>
      </c>
      <c r="M22">
        <f t="shared" si="3"/>
        <v>4.9972122737641147</v>
      </c>
      <c r="N22" s="2">
        <v>0.91</v>
      </c>
      <c r="O22">
        <v>1.31022024154663</v>
      </c>
      <c r="P22">
        <v>1.45200526714325</v>
      </c>
    </row>
    <row r="23" spans="1:16" x14ac:dyDescent="0.25">
      <c r="A23" t="s">
        <v>67</v>
      </c>
      <c r="B23" s="1" t="s">
        <v>12</v>
      </c>
      <c r="C23">
        <v>2010</v>
      </c>
      <c r="D23">
        <v>481420882905.00092</v>
      </c>
      <c r="E23">
        <v>119533110678.33356</v>
      </c>
      <c r="F23">
        <v>4893955</v>
      </c>
      <c r="G23">
        <f t="shared" si="1"/>
        <v>26.90000774088298</v>
      </c>
      <c r="H23">
        <f t="shared" si="1"/>
        <v>25.506859246745424</v>
      </c>
      <c r="I23">
        <f t="shared" si="1"/>
        <v>15.403511328009911</v>
      </c>
      <c r="J23">
        <f t="shared" si="2"/>
        <v>10.103347918735514</v>
      </c>
      <c r="K23">
        <v>2.0618801116943399</v>
      </c>
      <c r="L23">
        <v>140</v>
      </c>
      <c r="M23">
        <f t="shared" si="3"/>
        <v>4.9416424226093039</v>
      </c>
      <c r="N23" s="2">
        <v>0.91300000000000003</v>
      </c>
      <c r="O23">
        <v>1.28281509876251</v>
      </c>
      <c r="P23">
        <v>1.4738299846649201</v>
      </c>
    </row>
    <row r="24" spans="1:16" x14ac:dyDescent="0.25">
      <c r="A24" t="s">
        <v>67</v>
      </c>
      <c r="B24" s="1" t="s">
        <v>12</v>
      </c>
      <c r="C24">
        <v>2011</v>
      </c>
      <c r="D24">
        <v>523330354138.1333</v>
      </c>
      <c r="E24">
        <v>127734165739.29987</v>
      </c>
      <c r="F24">
        <v>4876780</v>
      </c>
      <c r="G24">
        <f t="shared" si="1"/>
        <v>26.98347875387477</v>
      </c>
      <c r="H24">
        <f t="shared" si="1"/>
        <v>25.573217111101947</v>
      </c>
      <c r="I24">
        <f t="shared" si="1"/>
        <v>15.399995723976131</v>
      </c>
      <c r="J24">
        <f t="shared" si="2"/>
        <v>10.173221387125816</v>
      </c>
      <c r="K24">
        <v>2.1733200550079301</v>
      </c>
      <c r="L24">
        <v>127</v>
      </c>
      <c r="M24">
        <f t="shared" si="3"/>
        <v>4.8441870864585912</v>
      </c>
      <c r="N24" s="2">
        <v>0.91400000000000003</v>
      </c>
      <c r="O24">
        <v>1.23621690273285</v>
      </c>
      <c r="P24">
        <v>1.5199289321899401</v>
      </c>
    </row>
    <row r="25" spans="1:16" x14ac:dyDescent="0.25">
      <c r="A25" t="s">
        <v>67</v>
      </c>
      <c r="B25" s="1" t="s">
        <v>12</v>
      </c>
      <c r="C25">
        <v>2012</v>
      </c>
      <c r="D25">
        <v>496152879924.72668</v>
      </c>
      <c r="E25">
        <v>117850581378.28128</v>
      </c>
      <c r="F25">
        <v>4910968</v>
      </c>
      <c r="G25">
        <f t="shared" si="1"/>
        <v>26.930149941834262</v>
      </c>
      <c r="H25">
        <f t="shared" si="1"/>
        <v>25.492683399521994</v>
      </c>
      <c r="I25">
        <f t="shared" si="1"/>
        <v>15.406981629015627</v>
      </c>
      <c r="J25">
        <f t="shared" si="2"/>
        <v>10.085701770506367</v>
      </c>
      <c r="K25">
        <v>2.2811400890350302</v>
      </c>
      <c r="L25">
        <v>127</v>
      </c>
      <c r="M25">
        <f t="shared" si="3"/>
        <v>4.8441870864585912</v>
      </c>
      <c r="N25" s="2">
        <v>0.91500000000000004</v>
      </c>
      <c r="O25">
        <v>1.2221703529357899</v>
      </c>
      <c r="P25">
        <v>1.55911040306091</v>
      </c>
    </row>
    <row r="26" spans="1:16" x14ac:dyDescent="0.25">
      <c r="A26" t="s">
        <v>67</v>
      </c>
      <c r="B26" s="1" t="s">
        <v>12</v>
      </c>
      <c r="C26">
        <v>2013</v>
      </c>
      <c r="D26">
        <v>521791015247.0603</v>
      </c>
      <c r="E26">
        <v>121191435137.45132</v>
      </c>
      <c r="F26">
        <v>4962050</v>
      </c>
      <c r="G26">
        <f t="shared" si="1"/>
        <v>26.980532990733185</v>
      </c>
      <c r="H26">
        <f t="shared" si="1"/>
        <v>25.520637240901838</v>
      </c>
      <c r="I26">
        <f t="shared" si="1"/>
        <v>15.417329519765138</v>
      </c>
      <c r="J26">
        <f t="shared" si="2"/>
        <v>10.1033077211367</v>
      </c>
      <c r="K26">
        <v>2.3307299613952601</v>
      </c>
      <c r="L26">
        <v>161</v>
      </c>
      <c r="M26">
        <f t="shared" si="3"/>
        <v>5.0814043649844631</v>
      </c>
      <c r="N26" s="2">
        <v>0.91700000000000004</v>
      </c>
      <c r="O26">
        <v>1.28374707698822</v>
      </c>
      <c r="P26">
        <v>1.60430264472961</v>
      </c>
    </row>
    <row r="27" spans="1:16" x14ac:dyDescent="0.25">
      <c r="A27" t="s">
        <v>67</v>
      </c>
      <c r="B27" s="1" t="s">
        <v>12</v>
      </c>
      <c r="C27">
        <v>2014</v>
      </c>
      <c r="D27">
        <v>535390200131.0177</v>
      </c>
      <c r="E27">
        <v>128252668617.17603</v>
      </c>
      <c r="F27">
        <v>4978926</v>
      </c>
      <c r="G27">
        <f t="shared" si="1"/>
        <v>27.006261664038135</v>
      </c>
      <c r="H27">
        <f t="shared" si="1"/>
        <v>25.577268128712007</v>
      </c>
      <c r="I27">
        <f t="shared" si="1"/>
        <v>15.4207247630917</v>
      </c>
      <c r="J27">
        <f t="shared" si="2"/>
        <v>10.156543365620307</v>
      </c>
      <c r="K27">
        <v>2.3700199127197301</v>
      </c>
      <c r="L27">
        <v>137</v>
      </c>
      <c r="M27">
        <f t="shared" si="3"/>
        <v>4.9199809258281251</v>
      </c>
      <c r="N27" s="2">
        <v>0.92200000000000004</v>
      </c>
      <c r="O27">
        <v>1.1528851985931401</v>
      </c>
      <c r="P27">
        <v>1.51295030117035</v>
      </c>
    </row>
    <row r="28" spans="1:16" x14ac:dyDescent="0.25">
      <c r="A28" t="s">
        <v>67</v>
      </c>
      <c r="B28" s="1" t="s">
        <v>12</v>
      </c>
      <c r="C28">
        <v>2015</v>
      </c>
      <c r="D28">
        <v>462335574841.48413</v>
      </c>
      <c r="E28">
        <v>115796420904.57025</v>
      </c>
      <c r="F28">
        <v>4989597</v>
      </c>
      <c r="G28">
        <f t="shared" si="1"/>
        <v>26.859556816832608</v>
      </c>
      <c r="H28">
        <f t="shared" si="1"/>
        <v>25.475099494047814</v>
      </c>
      <c r="I28">
        <f t="shared" si="1"/>
        <v>15.422865702943268</v>
      </c>
      <c r="J28">
        <f t="shared" si="2"/>
        <v>10.052233791104547</v>
      </c>
      <c r="K28">
        <v>2.4281699657440199</v>
      </c>
      <c r="L28">
        <v>148</v>
      </c>
      <c r="M28">
        <f t="shared" si="3"/>
        <v>4.9972122737641147</v>
      </c>
      <c r="N28" s="2">
        <v>0.92400000000000004</v>
      </c>
      <c r="O28">
        <v>1.2739608287811299</v>
      </c>
      <c r="P28">
        <v>1.4746965169906601</v>
      </c>
    </row>
    <row r="29" spans="1:16" x14ac:dyDescent="0.25">
      <c r="A29" t="s">
        <v>67</v>
      </c>
      <c r="B29" s="1" t="s">
        <v>12</v>
      </c>
      <c r="C29">
        <v>2016</v>
      </c>
      <c r="D29">
        <v>476062757356.92725</v>
      </c>
      <c r="E29">
        <v>121140915643.30769</v>
      </c>
      <c r="F29">
        <v>4997187</v>
      </c>
      <c r="G29">
        <f t="shared" si="1"/>
        <v>26.888815525674104</v>
      </c>
      <c r="H29">
        <f t="shared" si="1"/>
        <v>25.520220297025276</v>
      </c>
      <c r="I29">
        <f t="shared" si="1"/>
        <v>15.424385712079612</v>
      </c>
      <c r="J29">
        <f t="shared" si="2"/>
        <v>10.095834584945663</v>
      </c>
      <c r="K29">
        <v>2.5233800411224401</v>
      </c>
      <c r="L29">
        <v>119</v>
      </c>
      <c r="M29">
        <f t="shared" si="3"/>
        <v>4.7791234931115296</v>
      </c>
      <c r="N29" s="2">
        <v>0.92700000000000005</v>
      </c>
      <c r="O29">
        <v>1.32856822013855</v>
      </c>
      <c r="P29">
        <v>1.53148806095123</v>
      </c>
    </row>
    <row r="30" spans="1:16" x14ac:dyDescent="0.25">
      <c r="A30" t="s">
        <v>67</v>
      </c>
      <c r="B30" s="1" t="s">
        <v>12</v>
      </c>
      <c r="C30">
        <v>2017</v>
      </c>
      <c r="D30">
        <v>502764720556.35382</v>
      </c>
      <c r="E30">
        <v>128181872954.94139</v>
      </c>
      <c r="F30">
        <v>5086330</v>
      </c>
      <c r="G30">
        <f t="shared" si="1"/>
        <v>26.943388145242828</v>
      </c>
      <c r="H30">
        <f t="shared" si="1"/>
        <v>25.576715974828218</v>
      </c>
      <c r="I30">
        <f t="shared" si="1"/>
        <v>15.442067106854608</v>
      </c>
      <c r="J30">
        <f t="shared" si="2"/>
        <v>10.13464886797361</v>
      </c>
      <c r="K30">
        <v>2.6666600704193102</v>
      </c>
      <c r="L30">
        <v>216</v>
      </c>
      <c r="M30">
        <f t="shared" si="3"/>
        <v>5.3752784076841653</v>
      </c>
      <c r="N30" s="2">
        <v>0.93100000000000005</v>
      </c>
      <c r="O30">
        <v>1.23327612876892</v>
      </c>
      <c r="P30">
        <v>1.4038844108581501</v>
      </c>
    </row>
    <row r="31" spans="1:16" x14ac:dyDescent="0.25">
      <c r="A31" t="s">
        <v>67</v>
      </c>
      <c r="B31" s="1" t="s">
        <v>12</v>
      </c>
      <c r="C31">
        <v>2018</v>
      </c>
      <c r="D31">
        <v>543299066998.90155</v>
      </c>
      <c r="E31">
        <v>136261838013.80382</v>
      </c>
      <c r="F31">
        <v>5144068</v>
      </c>
      <c r="G31">
        <f t="shared" si="1"/>
        <v>27.020925773217122</v>
      </c>
      <c r="H31">
        <f t="shared" si="1"/>
        <v>25.637844151220506</v>
      </c>
      <c r="I31">
        <f t="shared" si="1"/>
        <v>15.453354764096822</v>
      </c>
      <c r="J31">
        <f t="shared" si="2"/>
        <v>10.184489387123683</v>
      </c>
      <c r="K31">
        <v>2.86017990112305</v>
      </c>
      <c r="L31">
        <v>218</v>
      </c>
      <c r="M31">
        <f t="shared" si="3"/>
        <v>5.3844950627890888</v>
      </c>
      <c r="N31" s="2">
        <v>0.93300000000000005</v>
      </c>
      <c r="O31">
        <v>1.25903940200806</v>
      </c>
      <c r="P31">
        <v>1.42942035198212</v>
      </c>
    </row>
    <row r="32" spans="1:16" x14ac:dyDescent="0.25">
      <c r="A32" t="s">
        <v>67</v>
      </c>
      <c r="B32" s="1" t="s">
        <v>12</v>
      </c>
      <c r="C32">
        <v>2019</v>
      </c>
      <c r="D32">
        <v>535865804349.80304</v>
      </c>
      <c r="E32">
        <v>137380568473.72527</v>
      </c>
      <c r="F32">
        <v>5194405</v>
      </c>
      <c r="G32">
        <f t="shared" si="1"/>
        <v>27.007149601651637</v>
      </c>
      <c r="H32">
        <f t="shared" si="1"/>
        <v>25.646020783689266</v>
      </c>
      <c r="I32">
        <f t="shared" si="1"/>
        <v>15.463092642751032</v>
      </c>
      <c r="J32">
        <f t="shared" si="2"/>
        <v>10.182928140938234</v>
      </c>
      <c r="K32">
        <v>3.1565999984741202</v>
      </c>
      <c r="L32">
        <v>257</v>
      </c>
      <c r="M32">
        <f t="shared" si="3"/>
        <v>5.5490760848952201</v>
      </c>
      <c r="N32" s="2">
        <v>0.93600000000000005</v>
      </c>
      <c r="O32">
        <v>1.2765372991561901</v>
      </c>
      <c r="P32">
        <v>1.44899594783783</v>
      </c>
    </row>
    <row r="33" spans="1:16" x14ac:dyDescent="0.25">
      <c r="A33" t="s">
        <v>67</v>
      </c>
      <c r="B33" s="1" t="s">
        <v>12</v>
      </c>
      <c r="C33">
        <v>2020</v>
      </c>
      <c r="D33">
        <v>526021513474.24268</v>
      </c>
      <c r="E33">
        <v>137483290143.96924</v>
      </c>
      <c r="F33">
        <v>5167188</v>
      </c>
      <c r="G33">
        <f t="shared" si="1"/>
        <v>26.988607948988879</v>
      </c>
      <c r="H33">
        <f t="shared" si="1"/>
        <v>25.64676822044245</v>
      </c>
      <c r="I33">
        <f t="shared" si="1"/>
        <v>15.457839191356785</v>
      </c>
      <c r="J33">
        <f t="shared" si="2"/>
        <v>10.188929029085665</v>
      </c>
      <c r="K33">
        <v>3.3969700336456299</v>
      </c>
      <c r="L33">
        <v>288</v>
      </c>
      <c r="M33">
        <f t="shared" si="3"/>
        <v>5.6629604801359461</v>
      </c>
      <c r="N33" s="2">
        <v>0.93</v>
      </c>
      <c r="O33">
        <v>1.3436357975006099</v>
      </c>
      <c r="P33">
        <v>1.44595634937286</v>
      </c>
    </row>
    <row r="34" spans="1:16" x14ac:dyDescent="0.25">
      <c r="A34" t="s">
        <v>35</v>
      </c>
      <c r="B34" s="1" t="s">
        <v>74</v>
      </c>
      <c r="C34">
        <v>2005</v>
      </c>
      <c r="D34">
        <v>1173108598778.6763</v>
      </c>
      <c r="E34">
        <v>312258623535.23682</v>
      </c>
      <c r="F34">
        <v>17818493</v>
      </c>
      <c r="G34">
        <f t="shared" si="1"/>
        <v>27.790678263393438</v>
      </c>
      <c r="H34">
        <f t="shared" si="1"/>
        <v>26.467097602977429</v>
      </c>
      <c r="I34">
        <f t="shared" si="1"/>
        <v>16.695747408529638</v>
      </c>
      <c r="J34">
        <f t="shared" si="2"/>
        <v>9.7713501944477912</v>
      </c>
      <c r="K34">
        <v>1.97126996517181</v>
      </c>
      <c r="L34">
        <v>34705</v>
      </c>
      <c r="M34">
        <f t="shared" si="3"/>
        <v>10.454639047773684</v>
      </c>
      <c r="N34" s="2">
        <v>0.90300000000000002</v>
      </c>
      <c r="O34">
        <v>1.5657497644424401</v>
      </c>
      <c r="P34">
        <v>1.86970067024231</v>
      </c>
    </row>
    <row r="35" spans="1:16" x14ac:dyDescent="0.25">
      <c r="A35" t="s">
        <v>35</v>
      </c>
      <c r="B35" s="1" t="s">
        <v>74</v>
      </c>
      <c r="C35">
        <v>2006</v>
      </c>
      <c r="D35">
        <v>1319264809590.9731</v>
      </c>
      <c r="E35">
        <v>347391572637.51758</v>
      </c>
      <c r="F35">
        <v>18035508</v>
      </c>
      <c r="G35">
        <f t="shared" si="1"/>
        <v>27.908095734934555</v>
      </c>
      <c r="H35">
        <f t="shared" si="1"/>
        <v>26.57371843207552</v>
      </c>
      <c r="I35">
        <f t="shared" si="1"/>
        <v>16.707853039375259</v>
      </c>
      <c r="J35">
        <f t="shared" si="2"/>
        <v>9.8658653927002611</v>
      </c>
      <c r="K35">
        <v>1.9430400133132899</v>
      </c>
      <c r="L35">
        <v>36516</v>
      </c>
      <c r="M35">
        <f t="shared" si="3"/>
        <v>10.505505799684972</v>
      </c>
      <c r="N35" s="2">
        <v>0.90700000000000003</v>
      </c>
      <c r="O35">
        <v>1.5586569309234599</v>
      </c>
      <c r="P35">
        <v>1.9527945518493699</v>
      </c>
    </row>
    <row r="36" spans="1:16" x14ac:dyDescent="0.25">
      <c r="A36" t="s">
        <v>35</v>
      </c>
      <c r="B36" s="1" t="s">
        <v>74</v>
      </c>
      <c r="C36">
        <v>2007</v>
      </c>
      <c r="D36">
        <v>1468820407783.2603</v>
      </c>
      <c r="E36">
        <v>382206498463.83014</v>
      </c>
      <c r="F36">
        <v>18382520</v>
      </c>
      <c r="G36">
        <f t="shared" si="1"/>
        <v>28.015480750904064</v>
      </c>
      <c r="H36">
        <f t="shared" si="1"/>
        <v>26.669226871391476</v>
      </c>
      <c r="I36">
        <f t="shared" si="1"/>
        <v>16.726910771043219</v>
      </c>
      <c r="J36">
        <f t="shared" si="2"/>
        <v>9.9423161003482576</v>
      </c>
      <c r="K36">
        <v>1.90357995033264</v>
      </c>
      <c r="L36">
        <v>35133</v>
      </c>
      <c r="M36">
        <f t="shared" si="3"/>
        <v>10.466896138710247</v>
      </c>
      <c r="N36" s="2">
        <v>0.90700000000000003</v>
      </c>
      <c r="O36">
        <v>1.60638952255249</v>
      </c>
      <c r="P36">
        <v>1.9908803701400799</v>
      </c>
    </row>
    <row r="37" spans="1:16" x14ac:dyDescent="0.25">
      <c r="A37" t="s">
        <v>35</v>
      </c>
      <c r="B37" s="1" t="s">
        <v>74</v>
      </c>
      <c r="C37">
        <v>2008</v>
      </c>
      <c r="D37">
        <v>1552989690721.6497</v>
      </c>
      <c r="E37">
        <v>400970009372.07123</v>
      </c>
      <c r="F37">
        <v>18662676</v>
      </c>
      <c r="G37">
        <f t="shared" si="1"/>
        <v>28.071203021774064</v>
      </c>
      <c r="H37">
        <f t="shared" si="1"/>
        <v>26.717152471860267</v>
      </c>
      <c r="I37">
        <f t="shared" si="1"/>
        <v>16.742036151461605</v>
      </c>
      <c r="J37">
        <f t="shared" si="2"/>
        <v>9.9751163203986621</v>
      </c>
      <c r="K37">
        <v>1.85578000545502</v>
      </c>
      <c r="L37">
        <v>37028</v>
      </c>
      <c r="M37">
        <f t="shared" si="3"/>
        <v>10.519429662187102</v>
      </c>
      <c r="N37" s="2">
        <v>0.90900000000000003</v>
      </c>
      <c r="O37">
        <v>1.6509435176849401</v>
      </c>
      <c r="P37">
        <v>1.98772144317627</v>
      </c>
    </row>
    <row r="38" spans="1:16" x14ac:dyDescent="0.25">
      <c r="A38" t="s">
        <v>35</v>
      </c>
      <c r="B38" s="1" t="s">
        <v>74</v>
      </c>
      <c r="C38">
        <v>2009</v>
      </c>
      <c r="D38">
        <v>1374625142157.2915</v>
      </c>
      <c r="E38">
        <v>281282477473.53687</v>
      </c>
      <c r="F38">
        <v>18788041</v>
      </c>
      <c r="G38">
        <f t="shared" si="1"/>
        <v>27.949202185992828</v>
      </c>
      <c r="H38">
        <f t="shared" si="1"/>
        <v>26.362625259259726</v>
      </c>
      <c r="I38">
        <f t="shared" si="1"/>
        <v>16.748731108370627</v>
      </c>
      <c r="J38">
        <f t="shared" si="2"/>
        <v>9.6138941508890987</v>
      </c>
      <c r="K38">
        <v>1.9174200296402</v>
      </c>
      <c r="L38">
        <v>32410</v>
      </c>
      <c r="M38">
        <f t="shared" si="3"/>
        <v>10.386222296135593</v>
      </c>
      <c r="N38" s="2">
        <v>0.91</v>
      </c>
      <c r="O38">
        <v>1.69657874107361</v>
      </c>
      <c r="P38">
        <v>2.05179667472839</v>
      </c>
    </row>
    <row r="39" spans="1:16" x14ac:dyDescent="0.25">
      <c r="A39" t="s">
        <v>35</v>
      </c>
      <c r="B39" s="1" t="s">
        <v>74</v>
      </c>
      <c r="C39">
        <v>2010</v>
      </c>
      <c r="D39">
        <v>1617343367486.2585</v>
      </c>
      <c r="E39">
        <v>348152185438.93854</v>
      </c>
      <c r="F39">
        <v>18985996</v>
      </c>
      <c r="G39">
        <f t="shared" si="1"/>
        <v>28.11180602245712</v>
      </c>
      <c r="H39">
        <f t="shared" si="1"/>
        <v>26.575905535606484</v>
      </c>
      <c r="I39">
        <f t="shared" si="1"/>
        <v>16.759212212742305</v>
      </c>
      <c r="J39">
        <f t="shared" si="2"/>
        <v>9.8166933228641788</v>
      </c>
      <c r="K39">
        <v>1.8252799510955799</v>
      </c>
      <c r="L39">
        <v>30899</v>
      </c>
      <c r="M39">
        <f t="shared" si="3"/>
        <v>10.338479099902614</v>
      </c>
      <c r="N39" s="2">
        <v>0.91100000000000003</v>
      </c>
      <c r="O39">
        <v>1.6934303045272801</v>
      </c>
      <c r="P39">
        <v>2.0618731975555402</v>
      </c>
    </row>
    <row r="40" spans="1:16" x14ac:dyDescent="0.25">
      <c r="A40" t="s">
        <v>35</v>
      </c>
      <c r="B40" s="1" t="s">
        <v>74</v>
      </c>
      <c r="C40">
        <v>2011</v>
      </c>
      <c r="D40">
        <v>1793326630174.5186</v>
      </c>
      <c r="E40">
        <v>411593269608.47449</v>
      </c>
      <c r="F40">
        <v>19146747</v>
      </c>
      <c r="G40">
        <f t="shared" si="1"/>
        <v>28.215093463606244</v>
      </c>
      <c r="H40">
        <f t="shared" si="1"/>
        <v>26.743301488995343</v>
      </c>
      <c r="I40">
        <f t="shared" si="1"/>
        <v>16.767643389709782</v>
      </c>
      <c r="J40">
        <f t="shared" si="2"/>
        <v>9.9756580992855604</v>
      </c>
      <c r="K40">
        <v>1.7871400117874101</v>
      </c>
      <c r="L40">
        <v>30357</v>
      </c>
      <c r="M40">
        <f t="shared" si="3"/>
        <v>10.32078241239787</v>
      </c>
      <c r="N40" s="2">
        <v>0.91400000000000003</v>
      </c>
      <c r="O40">
        <v>1.6848402023315401</v>
      </c>
      <c r="P40">
        <v>1.9711334705352801</v>
      </c>
    </row>
    <row r="41" spans="1:16" x14ac:dyDescent="0.25">
      <c r="A41" t="s">
        <v>35</v>
      </c>
      <c r="B41" s="1" t="s">
        <v>74</v>
      </c>
      <c r="C41">
        <v>2012</v>
      </c>
      <c r="D41">
        <v>1828366481521.5952</v>
      </c>
      <c r="E41">
        <v>419095232931.83209</v>
      </c>
      <c r="F41">
        <v>19315804</v>
      </c>
      <c r="G41">
        <f t="shared" si="1"/>
        <v>28.234444051099448</v>
      </c>
      <c r="H41">
        <f t="shared" si="1"/>
        <v>26.761364017276435</v>
      </c>
      <c r="I41">
        <f t="shared" si="1"/>
        <v>16.776434178895716</v>
      </c>
      <c r="J41">
        <f t="shared" si="2"/>
        <v>9.9849298383807188</v>
      </c>
      <c r="K41">
        <v>1.7723200321197501</v>
      </c>
      <c r="L41">
        <v>30533</v>
      </c>
      <c r="M41">
        <f t="shared" si="3"/>
        <v>10.326563344903953</v>
      </c>
      <c r="N41" s="2">
        <v>0.92100000000000004</v>
      </c>
      <c r="O41">
        <v>1.7071946859359699</v>
      </c>
      <c r="P41">
        <v>1.9189044237136801</v>
      </c>
    </row>
    <row r="42" spans="1:16" x14ac:dyDescent="0.25">
      <c r="A42" t="s">
        <v>35</v>
      </c>
      <c r="B42" s="1" t="s">
        <v>74</v>
      </c>
      <c r="C42">
        <v>2013</v>
      </c>
      <c r="D42">
        <v>1846597421834.9834</v>
      </c>
      <c r="E42">
        <v>430899815528.1687</v>
      </c>
      <c r="F42">
        <v>19521201</v>
      </c>
      <c r="G42">
        <f t="shared" si="1"/>
        <v>28.244365830115321</v>
      </c>
      <c r="H42">
        <f t="shared" si="1"/>
        <v>26.789141453459894</v>
      </c>
      <c r="I42">
        <f t="shared" si="1"/>
        <v>16.787011663695878</v>
      </c>
      <c r="J42">
        <f t="shared" si="2"/>
        <v>10.002129789764016</v>
      </c>
      <c r="K42">
        <v>1.70539999008179</v>
      </c>
      <c r="L42">
        <v>30174</v>
      </c>
      <c r="M42">
        <f t="shared" si="3"/>
        <v>10.31473590540002</v>
      </c>
      <c r="N42" s="2">
        <v>0.92300000000000004</v>
      </c>
      <c r="O42">
        <v>1.72989094257355</v>
      </c>
      <c r="P42">
        <v>1.8793425559997601</v>
      </c>
    </row>
    <row r="43" spans="1:16" x14ac:dyDescent="0.25">
      <c r="A43" t="s">
        <v>35</v>
      </c>
      <c r="B43" s="1" t="s">
        <v>74</v>
      </c>
      <c r="C43">
        <v>2014</v>
      </c>
      <c r="D43">
        <v>1805749878439.9412</v>
      </c>
      <c r="E43">
        <v>432244615988.95538</v>
      </c>
      <c r="F43">
        <v>19584895</v>
      </c>
      <c r="G43">
        <f t="shared" si="1"/>
        <v>28.221997066559044</v>
      </c>
      <c r="H43">
        <f t="shared" si="1"/>
        <v>26.792257505651914</v>
      </c>
      <c r="I43">
        <f t="shared" si="1"/>
        <v>16.790269163821847</v>
      </c>
      <c r="J43">
        <f t="shared" si="2"/>
        <v>10.001988341830067</v>
      </c>
      <c r="K43">
        <v>1.7141699790954601</v>
      </c>
      <c r="L43">
        <v>31283</v>
      </c>
      <c r="M43">
        <f t="shared" si="3"/>
        <v>10.350830097988764</v>
      </c>
      <c r="N43" s="2">
        <v>0.92500000000000004</v>
      </c>
      <c r="O43">
        <v>1.8387253284454299</v>
      </c>
      <c r="P43">
        <v>1.8324272632598899</v>
      </c>
    </row>
    <row r="44" spans="1:16" x14ac:dyDescent="0.25">
      <c r="A44" t="s">
        <v>35</v>
      </c>
      <c r="B44" s="1" t="s">
        <v>74</v>
      </c>
      <c r="C44">
        <v>2015</v>
      </c>
      <c r="D44">
        <v>1556508816217.1401</v>
      </c>
      <c r="E44">
        <v>331741927460.00574</v>
      </c>
      <c r="F44">
        <v>19691006</v>
      </c>
      <c r="G44">
        <f t="shared" si="1"/>
        <v>28.073466490941257</v>
      </c>
      <c r="H44">
        <f t="shared" si="1"/>
        <v>26.527623176659976</v>
      </c>
      <c r="I44">
        <f t="shared" si="1"/>
        <v>16.795672541234996</v>
      </c>
      <c r="J44">
        <f t="shared" si="2"/>
        <v>9.7319506354249796</v>
      </c>
      <c r="K44">
        <v>1.6932400465011599</v>
      </c>
      <c r="L44">
        <v>32687</v>
      </c>
      <c r="M44">
        <f t="shared" si="3"/>
        <v>10.394732724323175</v>
      </c>
      <c r="N44" s="2">
        <v>0.92700000000000005</v>
      </c>
      <c r="O44">
        <v>1.7060580253601101</v>
      </c>
      <c r="P44">
        <v>1.84586489200592</v>
      </c>
    </row>
    <row r="45" spans="1:16" x14ac:dyDescent="0.25">
      <c r="A45" t="s">
        <v>35</v>
      </c>
      <c r="B45" s="1" t="s">
        <v>74</v>
      </c>
      <c r="C45">
        <v>2016</v>
      </c>
      <c r="D45">
        <v>1527994741907.425</v>
      </c>
      <c r="E45">
        <v>312744611963.98102</v>
      </c>
      <c r="F45">
        <v>19878324</v>
      </c>
      <c r="G45">
        <f t="shared" si="1"/>
        <v>28.054977365506893</v>
      </c>
      <c r="H45">
        <f t="shared" si="1"/>
        <v>26.468652758212116</v>
      </c>
      <c r="I45">
        <f t="shared" si="1"/>
        <v>16.805140449803755</v>
      </c>
      <c r="J45">
        <f t="shared" si="2"/>
        <v>9.663512308408361</v>
      </c>
      <c r="K45">
        <v>1.7290300130844101</v>
      </c>
      <c r="L45">
        <v>30667</v>
      </c>
      <c r="M45">
        <f t="shared" si="3"/>
        <v>10.330942436869211</v>
      </c>
      <c r="N45" s="2">
        <v>0.92800000000000005</v>
      </c>
      <c r="O45">
        <v>1.7274141311645499</v>
      </c>
      <c r="P45">
        <v>1.9444384574890099</v>
      </c>
    </row>
    <row r="46" spans="1:16" x14ac:dyDescent="0.25">
      <c r="A46" t="s">
        <v>35</v>
      </c>
      <c r="B46" s="1" t="s">
        <v>74</v>
      </c>
      <c r="C46">
        <v>2017</v>
      </c>
      <c r="D46">
        <v>1649265644244.095</v>
      </c>
      <c r="E46">
        <v>351630630469.63013</v>
      </c>
      <c r="F46">
        <v>20144897</v>
      </c>
      <c r="G46">
        <f t="shared" si="1"/>
        <v>28.131351240676128</v>
      </c>
      <c r="H46">
        <f t="shared" si="1"/>
        <v>26.585847116339586</v>
      </c>
      <c r="I46">
        <f t="shared" si="1"/>
        <v>16.818461563663266</v>
      </c>
      <c r="J46">
        <f t="shared" si="2"/>
        <v>9.7673855526763198</v>
      </c>
      <c r="K46">
        <v>1.6870199441909799</v>
      </c>
      <c r="L46">
        <v>30969</v>
      </c>
      <c r="M46">
        <f t="shared" si="3"/>
        <v>10.3407419831337</v>
      </c>
      <c r="N46" s="2">
        <v>0.92900000000000005</v>
      </c>
      <c r="O46">
        <v>1.87920141220093</v>
      </c>
      <c r="P46">
        <v>1.88070380687714</v>
      </c>
    </row>
    <row r="47" spans="1:16" x14ac:dyDescent="0.25">
      <c r="A47" t="s">
        <v>35</v>
      </c>
      <c r="B47" s="1" t="s">
        <v>74</v>
      </c>
      <c r="C47">
        <v>2018</v>
      </c>
      <c r="D47">
        <v>1725329192783.0239</v>
      </c>
      <c r="E47">
        <v>369766206652.51917</v>
      </c>
      <c r="F47">
        <v>20348244</v>
      </c>
      <c r="G47">
        <f t="shared" si="1"/>
        <v>28.176438984600878</v>
      </c>
      <c r="H47">
        <f t="shared" si="1"/>
        <v>26.636136768956117</v>
      </c>
      <c r="I47">
        <f t="shared" si="1"/>
        <v>16.828505176203397</v>
      </c>
      <c r="J47">
        <f t="shared" si="2"/>
        <v>9.8076315927527205</v>
      </c>
      <c r="K47">
        <v>1.73720002174377</v>
      </c>
      <c r="L47">
        <v>31812</v>
      </c>
      <c r="M47">
        <f t="shared" si="3"/>
        <v>10.367598856077025</v>
      </c>
      <c r="N47" s="2">
        <v>0.93</v>
      </c>
      <c r="O47">
        <v>1.6994198560714699</v>
      </c>
      <c r="P47">
        <v>1.7898577451705899</v>
      </c>
    </row>
    <row r="48" spans="1:16" x14ac:dyDescent="0.25">
      <c r="A48" t="s">
        <v>35</v>
      </c>
      <c r="B48" s="1" t="s">
        <v>74</v>
      </c>
      <c r="C48">
        <v>2019</v>
      </c>
      <c r="D48">
        <v>1743725183672.5212</v>
      </c>
      <c r="E48">
        <v>376329889832.21722</v>
      </c>
      <c r="F48">
        <v>20767967</v>
      </c>
      <c r="G48">
        <f t="shared" si="1"/>
        <v>28.187044850829167</v>
      </c>
      <c r="H48">
        <f t="shared" si="1"/>
        <v>26.653731962250273</v>
      </c>
      <c r="I48">
        <f t="shared" si="1"/>
        <v>16.848922309501642</v>
      </c>
      <c r="J48">
        <f t="shared" si="2"/>
        <v>9.8048096527486308</v>
      </c>
      <c r="K48">
        <v>1.7557300329208401</v>
      </c>
      <c r="L48">
        <v>32250</v>
      </c>
      <c r="M48">
        <f t="shared" si="3"/>
        <v>10.381273322223919</v>
      </c>
      <c r="N48" s="2">
        <v>0.93200000000000005</v>
      </c>
      <c r="O48">
        <v>1.7100024223327599</v>
      </c>
      <c r="P48">
        <v>1.7299765348434399</v>
      </c>
    </row>
    <row r="49" spans="1:16" x14ac:dyDescent="0.25">
      <c r="A49" t="s">
        <v>35</v>
      </c>
      <c r="B49" s="1" t="s">
        <v>74</v>
      </c>
      <c r="C49">
        <v>2020</v>
      </c>
      <c r="D49">
        <v>1655684730000.1936</v>
      </c>
      <c r="E49">
        <v>339003164528.69189</v>
      </c>
      <c r="F49">
        <v>20482633</v>
      </c>
      <c r="G49">
        <f t="shared" si="1"/>
        <v>28.135235773332294</v>
      </c>
      <c r="H49">
        <f t="shared" si="1"/>
        <v>26.549275279176189</v>
      </c>
      <c r="I49">
        <f t="shared" si="1"/>
        <v>16.835087914325005</v>
      </c>
      <c r="J49">
        <f t="shared" si="2"/>
        <v>9.7141873648511847</v>
      </c>
      <c r="K49">
        <v>1.8948400020599401</v>
      </c>
      <c r="L49">
        <v>30113</v>
      </c>
      <c r="M49">
        <f t="shared" si="3"/>
        <v>10.312712251185442</v>
      </c>
      <c r="N49" s="2">
        <v>0.92800000000000005</v>
      </c>
      <c r="O49">
        <v>1.5925897359848</v>
      </c>
      <c r="P49">
        <v>1.5655562877655</v>
      </c>
    </row>
    <row r="50" spans="1:16" x14ac:dyDescent="0.25">
      <c r="A50" t="s">
        <v>50</v>
      </c>
      <c r="B50" s="1" t="s">
        <v>103</v>
      </c>
      <c r="C50">
        <v>2005</v>
      </c>
      <c r="D50">
        <v>45025679589.546577</v>
      </c>
      <c r="E50">
        <v>7828830645.6629438</v>
      </c>
      <c r="F50">
        <v>1796375</v>
      </c>
      <c r="G50">
        <f t="shared" ref="G50:I82" si="4">LN(D50)</f>
        <v>24.530498821499112</v>
      </c>
      <c r="H50">
        <f t="shared" si="4"/>
        <v>22.781078992969164</v>
      </c>
      <c r="I50">
        <f t="shared" si="4"/>
        <v>14.401281303376548</v>
      </c>
      <c r="J50">
        <f t="shared" si="2"/>
        <v>8.3797976895926158</v>
      </c>
      <c r="K50">
        <v>0.84776002168655396</v>
      </c>
      <c r="L50">
        <v>649</v>
      </c>
      <c r="M50">
        <f t="shared" si="3"/>
        <v>6.4754327167040904</v>
      </c>
      <c r="N50" s="2">
        <v>0.80600000000000005</v>
      </c>
      <c r="O50">
        <v>0.47524955868721003</v>
      </c>
      <c r="P50">
        <v>0.13955523073673201</v>
      </c>
    </row>
    <row r="51" spans="1:16" x14ac:dyDescent="0.25">
      <c r="A51" t="s">
        <v>50</v>
      </c>
      <c r="B51" s="1" t="s">
        <v>103</v>
      </c>
      <c r="C51">
        <v>2006</v>
      </c>
      <c r="D51">
        <v>49601653625.168251</v>
      </c>
      <c r="E51">
        <v>9751078685.9392891</v>
      </c>
      <c r="F51">
        <v>1785298</v>
      </c>
      <c r="G51">
        <f t="shared" si="4"/>
        <v>24.627290009338655</v>
      </c>
      <c r="H51">
        <f t="shared" si="4"/>
        <v>23.000643750291939</v>
      </c>
      <c r="I51">
        <f t="shared" si="4"/>
        <v>14.395095906040526</v>
      </c>
      <c r="J51">
        <f t="shared" si="2"/>
        <v>8.6055478442514133</v>
      </c>
      <c r="K51">
        <v>0.73312997817993197</v>
      </c>
      <c r="L51">
        <v>119</v>
      </c>
      <c r="M51">
        <f t="shared" si="3"/>
        <v>4.7791234931115296</v>
      </c>
      <c r="N51" s="2">
        <v>0.81399999999999995</v>
      </c>
      <c r="O51">
        <v>0.36519512534141502</v>
      </c>
      <c r="P51">
        <v>4.4990114867687198E-2</v>
      </c>
    </row>
    <row r="52" spans="1:16" x14ac:dyDescent="0.25">
      <c r="A52" t="s">
        <v>50</v>
      </c>
      <c r="B52" s="1" t="s">
        <v>103</v>
      </c>
      <c r="C52">
        <v>2007</v>
      </c>
      <c r="D52">
        <v>59320099744.95005</v>
      </c>
      <c r="E52">
        <v>11752669390.305908</v>
      </c>
      <c r="F52">
        <v>1924507</v>
      </c>
      <c r="G52">
        <f t="shared" si="4"/>
        <v>24.806214035687251</v>
      </c>
      <c r="H52">
        <f t="shared" si="4"/>
        <v>23.187346233888317</v>
      </c>
      <c r="I52">
        <f t="shared" si="4"/>
        <v>14.470180389007714</v>
      </c>
      <c r="J52">
        <f t="shared" si="2"/>
        <v>8.7171658448806024</v>
      </c>
      <c r="K52">
        <v>0.78492999076843295</v>
      </c>
      <c r="L52">
        <v>93</v>
      </c>
      <c r="M52">
        <f t="shared" si="3"/>
        <v>4.5325994931532563</v>
      </c>
      <c r="N52" s="2">
        <v>0.81799999999999995</v>
      </c>
      <c r="O52">
        <v>0.41139736771583602</v>
      </c>
      <c r="P52">
        <v>5.9037972241640098E-2</v>
      </c>
    </row>
    <row r="53" spans="1:16" x14ac:dyDescent="0.25">
      <c r="A53" t="s">
        <v>50</v>
      </c>
      <c r="B53" s="1" t="s">
        <v>103</v>
      </c>
      <c r="C53">
        <v>2008</v>
      </c>
      <c r="D53">
        <v>68526332324.364395</v>
      </c>
      <c r="E53">
        <v>13301543604.813635</v>
      </c>
      <c r="F53">
        <v>1933843</v>
      </c>
      <c r="G53">
        <f t="shared" si="4"/>
        <v>24.950483921841023</v>
      </c>
      <c r="H53">
        <f t="shared" si="4"/>
        <v>23.311145925951923</v>
      </c>
      <c r="I53">
        <f t="shared" si="4"/>
        <v>14.475019772796365</v>
      </c>
      <c r="J53">
        <f t="shared" si="2"/>
        <v>8.8361261531555577</v>
      </c>
      <c r="K53">
        <v>0.87800997495651201</v>
      </c>
      <c r="L53">
        <v>71</v>
      </c>
      <c r="M53">
        <f t="shared" si="3"/>
        <v>4.2626798770413155</v>
      </c>
      <c r="N53" s="2">
        <v>0.82099999999999995</v>
      </c>
      <c r="O53">
        <v>0.41396355628967302</v>
      </c>
      <c r="P53">
        <v>-5.0504669547081001E-2</v>
      </c>
    </row>
    <row r="54" spans="1:16" x14ac:dyDescent="0.25">
      <c r="A54" t="s">
        <v>50</v>
      </c>
      <c r="B54" s="1" t="s">
        <v>103</v>
      </c>
      <c r="C54">
        <v>2009</v>
      </c>
      <c r="D54">
        <v>62093280554.125893</v>
      </c>
      <c r="E54">
        <v>11484183114.838017</v>
      </c>
      <c r="F54">
        <v>1934048</v>
      </c>
      <c r="G54">
        <f t="shared" si="4"/>
        <v>24.851903616394143</v>
      </c>
      <c r="H54">
        <f t="shared" si="4"/>
        <v>23.164236544292145</v>
      </c>
      <c r="I54">
        <f t="shared" si="4"/>
        <v>14.475125773715311</v>
      </c>
      <c r="J54">
        <f t="shared" si="2"/>
        <v>8.6891107705768338</v>
      </c>
      <c r="K54">
        <v>0.83507001399993896</v>
      </c>
      <c r="L54">
        <v>68</v>
      </c>
      <c r="M54">
        <f t="shared" si="3"/>
        <v>4.219507705176107</v>
      </c>
      <c r="N54" s="2">
        <v>0.81899999999999995</v>
      </c>
      <c r="O54">
        <v>0.47227561473846402</v>
      </c>
      <c r="P54">
        <v>-8.6094982922077207E-2</v>
      </c>
    </row>
    <row r="55" spans="1:16" x14ac:dyDescent="0.25">
      <c r="A55" t="s">
        <v>50</v>
      </c>
      <c r="B55" s="1" t="s">
        <v>103</v>
      </c>
      <c r="C55">
        <v>2010</v>
      </c>
      <c r="D55">
        <v>58836405998.53112</v>
      </c>
      <c r="E55">
        <v>10857889643.359962</v>
      </c>
      <c r="F55">
        <v>1912849</v>
      </c>
      <c r="G55">
        <f t="shared" si="4"/>
        <v>24.79802664989182</v>
      </c>
      <c r="H55">
        <f t="shared" si="4"/>
        <v>23.108157808753042</v>
      </c>
      <c r="I55">
        <f t="shared" si="4"/>
        <v>14.464104311694841</v>
      </c>
      <c r="J55">
        <f t="shared" si="2"/>
        <v>8.6440534970582004</v>
      </c>
      <c r="K55">
        <v>0.73233997821807895</v>
      </c>
      <c r="L55">
        <v>21</v>
      </c>
      <c r="M55">
        <f t="shared" si="3"/>
        <v>3.044522437723423</v>
      </c>
      <c r="N55" s="2">
        <v>0.82399999999999995</v>
      </c>
      <c r="O55">
        <v>0.48948329687118503</v>
      </c>
      <c r="P55">
        <v>2.3101465776562701E-2</v>
      </c>
    </row>
    <row r="56" spans="1:16" x14ac:dyDescent="0.25">
      <c r="A56" t="s">
        <v>50</v>
      </c>
      <c r="B56" s="1" t="s">
        <v>103</v>
      </c>
      <c r="C56">
        <v>2011</v>
      </c>
      <c r="D56">
        <v>62772620898.647118</v>
      </c>
      <c r="E56">
        <v>10728554227.43325</v>
      </c>
      <c r="F56">
        <v>1883510</v>
      </c>
      <c r="G56">
        <f t="shared" si="4"/>
        <v>24.862784842405247</v>
      </c>
      <c r="H56">
        <f t="shared" si="4"/>
        <v>23.096174643358076</v>
      </c>
      <c r="I56">
        <f t="shared" si="4"/>
        <v>14.448647615364806</v>
      </c>
      <c r="J56">
        <f t="shared" si="2"/>
        <v>8.6475270279932701</v>
      </c>
      <c r="K56">
        <v>0.738470017910004</v>
      </c>
      <c r="L56">
        <v>21</v>
      </c>
      <c r="M56">
        <f t="shared" si="3"/>
        <v>3.044522437723423</v>
      </c>
      <c r="N56" s="2">
        <v>0.82899999999999996</v>
      </c>
      <c r="O56">
        <v>0.44289255142211897</v>
      </c>
      <c r="P56">
        <v>2.7720678597688699E-2</v>
      </c>
    </row>
    <row r="57" spans="1:16" x14ac:dyDescent="0.25">
      <c r="A57" t="s">
        <v>50</v>
      </c>
      <c r="B57" s="1" t="s">
        <v>103</v>
      </c>
      <c r="C57">
        <v>2012</v>
      </c>
      <c r="D57">
        <v>57411354937.680756</v>
      </c>
      <c r="E57">
        <v>9306741604.79282</v>
      </c>
      <c r="F57">
        <v>1865281</v>
      </c>
      <c r="G57">
        <f t="shared" si="4"/>
        <v>24.773507941921846</v>
      </c>
      <c r="H57">
        <f t="shared" si="4"/>
        <v>22.954004878230975</v>
      </c>
      <c r="I57">
        <f t="shared" si="4"/>
        <v>14.438922269951719</v>
      </c>
      <c r="J57">
        <f t="shared" si="2"/>
        <v>8.5150826082792559</v>
      </c>
      <c r="K57">
        <v>0.73956000804901101</v>
      </c>
      <c r="L57">
        <v>32</v>
      </c>
      <c r="M57">
        <f t="shared" si="3"/>
        <v>3.4657359027997265</v>
      </c>
      <c r="N57" s="2">
        <v>0.83199999999999996</v>
      </c>
      <c r="O57">
        <v>0.35381570458412198</v>
      </c>
      <c r="P57">
        <v>-2.5457292795181299E-2</v>
      </c>
    </row>
    <row r="58" spans="1:16" x14ac:dyDescent="0.25">
      <c r="A58" t="s">
        <v>50</v>
      </c>
      <c r="B58" s="1" t="s">
        <v>103</v>
      </c>
      <c r="C58">
        <v>2013</v>
      </c>
      <c r="D58">
        <v>59589170667.569771</v>
      </c>
      <c r="E58">
        <v>9780272526.2465878</v>
      </c>
      <c r="F58">
        <v>1844972</v>
      </c>
      <c r="G58">
        <f t="shared" si="4"/>
        <v>24.81073969429967</v>
      </c>
      <c r="H58">
        <f t="shared" si="4"/>
        <v>23.003633186274282</v>
      </c>
      <c r="I58">
        <f t="shared" si="4"/>
        <v>14.427974659189845</v>
      </c>
      <c r="J58">
        <f t="shared" si="2"/>
        <v>8.5756585270844372</v>
      </c>
      <c r="K58">
        <v>0.79816997051239003</v>
      </c>
      <c r="L58">
        <v>23</v>
      </c>
      <c r="M58">
        <f t="shared" si="3"/>
        <v>3.1354942159291497</v>
      </c>
      <c r="N58" s="2">
        <v>0.83899999999999997</v>
      </c>
      <c r="O58">
        <v>0.369632989168167</v>
      </c>
      <c r="P58">
        <v>0.107682622969151</v>
      </c>
    </row>
    <row r="59" spans="1:16" x14ac:dyDescent="0.25">
      <c r="A59" t="s">
        <v>50</v>
      </c>
      <c r="B59" s="1" t="s">
        <v>103</v>
      </c>
      <c r="C59">
        <v>2014</v>
      </c>
      <c r="D59">
        <v>59489433514.58493</v>
      </c>
      <c r="E59">
        <v>10478612222.991276</v>
      </c>
      <c r="F59">
        <v>1896011</v>
      </c>
      <c r="G59">
        <f t="shared" si="4"/>
        <v>24.809064545737211</v>
      </c>
      <c r="H59">
        <f t="shared" si="4"/>
        <v>23.072602085600511</v>
      </c>
      <c r="I59">
        <f t="shared" si="4"/>
        <v>14.455262763468038</v>
      </c>
      <c r="J59">
        <f t="shared" si="2"/>
        <v>8.617339322132473</v>
      </c>
      <c r="K59">
        <v>0.77258998155593905</v>
      </c>
      <c r="L59">
        <v>30</v>
      </c>
      <c r="M59">
        <f t="shared" si="3"/>
        <v>3.4011973816621555</v>
      </c>
      <c r="N59" s="2">
        <v>0.84199999999999997</v>
      </c>
      <c r="O59">
        <v>0.276575356721878</v>
      </c>
      <c r="P59">
        <v>0.20116409659385701</v>
      </c>
    </row>
    <row r="60" spans="1:16" x14ac:dyDescent="0.25">
      <c r="A60" t="s">
        <v>50</v>
      </c>
      <c r="B60" s="1" t="s">
        <v>103</v>
      </c>
      <c r="C60">
        <v>2015</v>
      </c>
      <c r="D60">
        <v>51011170111.848686</v>
      </c>
      <c r="E60">
        <v>10086198598.257864</v>
      </c>
      <c r="F60">
        <v>1896675</v>
      </c>
      <c r="G60">
        <f t="shared" si="4"/>
        <v>24.655310467489919</v>
      </c>
      <c r="H60">
        <f t="shared" si="4"/>
        <v>23.034433850894683</v>
      </c>
      <c r="I60">
        <f t="shared" si="4"/>
        <v>14.455612911097862</v>
      </c>
      <c r="J60">
        <f t="shared" si="2"/>
        <v>8.5788209397968203</v>
      </c>
      <c r="K60">
        <v>0.82815998792648304</v>
      </c>
      <c r="L60">
        <v>17</v>
      </c>
      <c r="M60">
        <f t="shared" si="3"/>
        <v>2.8332133440562162</v>
      </c>
      <c r="N60" s="2">
        <v>0.84399999999999997</v>
      </c>
      <c r="O60">
        <v>0.237562641501427</v>
      </c>
      <c r="P60">
        <v>0.20033498108386999</v>
      </c>
    </row>
    <row r="61" spans="1:16" x14ac:dyDescent="0.25">
      <c r="A61" t="s">
        <v>50</v>
      </c>
      <c r="B61" s="1" t="s">
        <v>103</v>
      </c>
      <c r="C61">
        <v>2016</v>
      </c>
      <c r="D61">
        <v>52740059263.424484</v>
      </c>
      <c r="E61">
        <v>11168671963.551998</v>
      </c>
      <c r="F61">
        <v>1835203</v>
      </c>
      <c r="G61">
        <f t="shared" si="4"/>
        <v>24.688641141561185</v>
      </c>
      <c r="H61">
        <f t="shared" si="4"/>
        <v>23.136378549812527</v>
      </c>
      <c r="I61">
        <f t="shared" si="4"/>
        <v>14.422665660055122</v>
      </c>
      <c r="J61">
        <f t="shared" si="2"/>
        <v>8.7137128897574048</v>
      </c>
      <c r="K61">
        <v>0.84995001554489102</v>
      </c>
      <c r="L61">
        <v>13</v>
      </c>
      <c r="M61">
        <f t="shared" si="3"/>
        <v>2.5649493574615367</v>
      </c>
      <c r="N61" s="2">
        <v>0.85</v>
      </c>
      <c r="O61">
        <v>0.238647386431694</v>
      </c>
      <c r="P61">
        <v>0.15614719688892401</v>
      </c>
    </row>
    <row r="62" spans="1:16" x14ac:dyDescent="0.25">
      <c r="A62" t="s">
        <v>50</v>
      </c>
      <c r="B62" s="1" t="s">
        <v>103</v>
      </c>
      <c r="C62">
        <v>2017</v>
      </c>
      <c r="D62">
        <v>56322449844.157928</v>
      </c>
      <c r="E62">
        <v>12189156464.537033</v>
      </c>
      <c r="F62">
        <v>1824724</v>
      </c>
      <c r="G62">
        <f t="shared" si="4"/>
        <v>24.754359046503531</v>
      </c>
      <c r="H62">
        <f t="shared" si="4"/>
        <v>23.223812579073702</v>
      </c>
      <c r="I62">
        <f t="shared" si="4"/>
        <v>14.416939300685172</v>
      </c>
      <c r="J62">
        <f t="shared" si="2"/>
        <v>8.8068732783885295</v>
      </c>
      <c r="K62">
        <v>0.84727001190185502</v>
      </c>
      <c r="L62">
        <v>11</v>
      </c>
      <c r="M62">
        <f t="shared" si="3"/>
        <v>2.3978952727983707</v>
      </c>
      <c r="N62" s="2">
        <v>0.85499999999999998</v>
      </c>
      <c r="O62">
        <v>0.29943662881851202</v>
      </c>
      <c r="P62">
        <v>5.9864528477191897E-2</v>
      </c>
    </row>
    <row r="63" spans="1:16" x14ac:dyDescent="0.25">
      <c r="A63" t="s">
        <v>50</v>
      </c>
      <c r="B63" s="1" t="s">
        <v>103</v>
      </c>
      <c r="C63">
        <v>2018</v>
      </c>
      <c r="D63">
        <v>61861145806.268745</v>
      </c>
      <c r="E63">
        <v>13466726858.30361</v>
      </c>
      <c r="F63">
        <v>1794304</v>
      </c>
      <c r="G63">
        <f t="shared" si="4"/>
        <v>24.848158126603224</v>
      </c>
      <c r="H63">
        <f t="shared" si="4"/>
        <v>23.323487802911426</v>
      </c>
      <c r="I63">
        <f t="shared" si="4"/>
        <v>14.400127760979887</v>
      </c>
      <c r="J63">
        <f t="shared" si="2"/>
        <v>8.9233600419315398</v>
      </c>
      <c r="K63">
        <v>0.95125001668930098</v>
      </c>
      <c r="L63">
        <v>15</v>
      </c>
      <c r="M63">
        <f t="shared" si="3"/>
        <v>2.7080502011022101</v>
      </c>
      <c r="N63" s="2">
        <v>0.86</v>
      </c>
      <c r="O63">
        <v>0.48981836438178999</v>
      </c>
      <c r="P63">
        <v>4.6951234340667697E-2</v>
      </c>
    </row>
    <row r="64" spans="1:16" x14ac:dyDescent="0.25">
      <c r="A64" t="s">
        <v>50</v>
      </c>
      <c r="B64" s="1" t="s">
        <v>103</v>
      </c>
      <c r="C64">
        <v>2019</v>
      </c>
      <c r="D64">
        <v>61867157679.321487</v>
      </c>
      <c r="E64">
        <v>13628714164.808296</v>
      </c>
      <c r="F64">
        <v>1781597</v>
      </c>
      <c r="G64">
        <f t="shared" si="4"/>
        <v>24.848255305225869</v>
      </c>
      <c r="H64">
        <f t="shared" si="4"/>
        <v>23.335444739599279</v>
      </c>
      <c r="I64">
        <f t="shared" si="4"/>
        <v>14.393020711044219</v>
      </c>
      <c r="J64">
        <f t="shared" si="2"/>
        <v>8.9424240285550596</v>
      </c>
      <c r="K64">
        <v>1.0796300172805799</v>
      </c>
      <c r="L64">
        <v>16</v>
      </c>
      <c r="M64">
        <f t="shared" si="3"/>
        <v>2.7725887222397811</v>
      </c>
      <c r="N64" s="2">
        <v>0.86599999999999999</v>
      </c>
      <c r="O64">
        <v>0.55251765251159701</v>
      </c>
      <c r="P64">
        <v>5.2742682397365598E-2</v>
      </c>
    </row>
    <row r="65" spans="1:16" x14ac:dyDescent="0.25">
      <c r="A65" t="s">
        <v>50</v>
      </c>
      <c r="B65" s="1" t="s">
        <v>103</v>
      </c>
      <c r="C65">
        <v>2020</v>
      </c>
      <c r="D65">
        <v>58221300897.883842</v>
      </c>
      <c r="E65">
        <v>9824069477.7744904</v>
      </c>
      <c r="F65">
        <v>1772376</v>
      </c>
      <c r="G65">
        <f t="shared" si="4"/>
        <v>24.787517119533042</v>
      </c>
      <c r="H65">
        <f t="shared" si="4"/>
        <v>23.008101280575222</v>
      </c>
      <c r="I65">
        <f t="shared" si="4"/>
        <v>14.387831577254383</v>
      </c>
      <c r="J65">
        <f t="shared" si="2"/>
        <v>8.6202697033208384</v>
      </c>
      <c r="K65">
        <v>1.24260997772217</v>
      </c>
      <c r="L65">
        <v>12</v>
      </c>
      <c r="M65">
        <f t="shared" si="3"/>
        <v>2.4849066497880004</v>
      </c>
      <c r="N65" s="2">
        <v>0.86</v>
      </c>
      <c r="O65">
        <v>0.36231455206870999</v>
      </c>
      <c r="P65">
        <v>0.177089244127274</v>
      </c>
    </row>
    <row r="66" spans="1:16" x14ac:dyDescent="0.25">
      <c r="A66" t="s">
        <v>10</v>
      </c>
      <c r="B66" s="1" t="s">
        <v>25</v>
      </c>
      <c r="C66">
        <v>2005</v>
      </c>
      <c r="D66">
        <v>137143471328.27435</v>
      </c>
      <c r="E66">
        <v>43720937998.280281</v>
      </c>
      <c r="F66">
        <v>5169750</v>
      </c>
      <c r="G66">
        <f t="shared" si="4"/>
        <v>25.644293450778285</v>
      </c>
      <c r="H66">
        <f t="shared" si="4"/>
        <v>24.501092954697068</v>
      </c>
      <c r="I66">
        <f t="shared" si="4"/>
        <v>15.458334889416008</v>
      </c>
      <c r="J66">
        <f t="shared" si="2"/>
        <v>9.0427580652810597</v>
      </c>
      <c r="K66">
        <v>1.16100001335144</v>
      </c>
      <c r="L66">
        <v>244</v>
      </c>
      <c r="M66">
        <f t="shared" si="3"/>
        <v>5.4971682252932021</v>
      </c>
      <c r="N66" s="2">
        <v>0.84699999999999998</v>
      </c>
      <c r="O66">
        <v>1.1090284585952801</v>
      </c>
      <c r="P66">
        <v>0.480226010084152</v>
      </c>
    </row>
    <row r="67" spans="1:16" x14ac:dyDescent="0.25">
      <c r="A67" t="s">
        <v>10</v>
      </c>
      <c r="B67" s="1" t="s">
        <v>25</v>
      </c>
      <c r="C67">
        <v>2006</v>
      </c>
      <c r="D67">
        <v>156264095664.64267</v>
      </c>
      <c r="E67">
        <v>51731531802.65184</v>
      </c>
      <c r="F67">
        <v>5191044</v>
      </c>
      <c r="G67">
        <f t="shared" si="4"/>
        <v>25.774813333747755</v>
      </c>
      <c r="H67">
        <f t="shared" si="4"/>
        <v>24.669333332018724</v>
      </c>
      <c r="I67">
        <f t="shared" si="4"/>
        <v>15.462445390982266</v>
      </c>
      <c r="J67">
        <f t="shared" ref="J67:J130" si="5">H67-I67</f>
        <v>9.2068879410364577</v>
      </c>
      <c r="K67">
        <v>1.22541999816895</v>
      </c>
      <c r="L67">
        <v>195</v>
      </c>
      <c r="M67">
        <f t="shared" ref="M67:M130" si="6">LN(L67)</f>
        <v>5.2729995585637468</v>
      </c>
      <c r="N67" s="2">
        <v>0.85599999999999998</v>
      </c>
      <c r="O67">
        <v>1.1080676317214999</v>
      </c>
      <c r="P67">
        <v>0.35034677386283902</v>
      </c>
    </row>
    <row r="68" spans="1:16" x14ac:dyDescent="0.25">
      <c r="A68" t="s">
        <v>10</v>
      </c>
      <c r="B68" s="1" t="s">
        <v>25</v>
      </c>
      <c r="C68">
        <v>2007</v>
      </c>
      <c r="D68">
        <v>190183800884.01819</v>
      </c>
      <c r="E68">
        <v>66215968502.540192</v>
      </c>
      <c r="F68">
        <v>5188504</v>
      </c>
      <c r="G68">
        <f t="shared" si="4"/>
        <v>25.971256814576886</v>
      </c>
      <c r="H68">
        <f t="shared" si="4"/>
        <v>24.916187486851914</v>
      </c>
      <c r="I68">
        <f t="shared" si="4"/>
        <v>15.461955966962897</v>
      </c>
      <c r="J68">
        <f t="shared" si="5"/>
        <v>9.4542315198890172</v>
      </c>
      <c r="K68">
        <v>1.29571998119354</v>
      </c>
      <c r="L68">
        <v>192</v>
      </c>
      <c r="M68">
        <f t="shared" si="6"/>
        <v>5.2574953720277815</v>
      </c>
      <c r="N68" s="2">
        <v>0.86199999999999999</v>
      </c>
      <c r="O68">
        <v>1.0531712770462001</v>
      </c>
      <c r="P68">
        <v>0.32136908173561102</v>
      </c>
    </row>
    <row r="69" spans="1:16" x14ac:dyDescent="0.25">
      <c r="A69" t="s">
        <v>10</v>
      </c>
      <c r="B69" s="1" t="s">
        <v>25</v>
      </c>
      <c r="C69">
        <v>2008</v>
      </c>
      <c r="D69">
        <v>236816485762.98788</v>
      </c>
      <c r="E69">
        <v>79314362365.786652</v>
      </c>
      <c r="F69">
        <v>5211811</v>
      </c>
      <c r="G69">
        <f t="shared" si="4"/>
        <v>26.190551356464514</v>
      </c>
      <c r="H69">
        <f t="shared" si="4"/>
        <v>25.096685063510652</v>
      </c>
      <c r="I69">
        <f t="shared" si="4"/>
        <v>15.466437954098152</v>
      </c>
      <c r="J69">
        <f t="shared" si="5"/>
        <v>9.6302471094124993</v>
      </c>
      <c r="K69">
        <v>1.2335799932479901</v>
      </c>
      <c r="L69">
        <v>142</v>
      </c>
      <c r="M69">
        <f t="shared" si="6"/>
        <v>4.9558270576012609</v>
      </c>
      <c r="N69" s="2">
        <v>0.86499999999999999</v>
      </c>
      <c r="O69">
        <v>1.2224590778350799</v>
      </c>
      <c r="P69">
        <v>0.34373998641967801</v>
      </c>
    </row>
    <row r="70" spans="1:16" x14ac:dyDescent="0.25">
      <c r="A70" t="s">
        <v>10</v>
      </c>
      <c r="B70" s="1" t="s">
        <v>25</v>
      </c>
      <c r="C70">
        <v>2009</v>
      </c>
      <c r="D70">
        <v>207434296805.32971</v>
      </c>
      <c r="E70">
        <v>63670723390.861885</v>
      </c>
      <c r="F70">
        <v>5255696</v>
      </c>
      <c r="G70">
        <f t="shared" si="4"/>
        <v>26.058080484573505</v>
      </c>
      <c r="H70">
        <f t="shared" si="4"/>
        <v>24.876990692476092</v>
      </c>
      <c r="I70">
        <f t="shared" si="4"/>
        <v>15.474822998813286</v>
      </c>
      <c r="J70">
        <f t="shared" si="5"/>
        <v>9.4021676936628058</v>
      </c>
      <c r="K70">
        <v>1.28656005859375</v>
      </c>
      <c r="L70">
        <v>92</v>
      </c>
      <c r="M70">
        <f t="shared" si="6"/>
        <v>4.5217885770490405</v>
      </c>
      <c r="N70" s="2">
        <v>0.86599999999999999</v>
      </c>
      <c r="O70">
        <v>1.3092801570892301</v>
      </c>
      <c r="P70">
        <v>0.380892634391785</v>
      </c>
    </row>
    <row r="71" spans="1:16" x14ac:dyDescent="0.25">
      <c r="A71" t="s">
        <v>10</v>
      </c>
      <c r="B71" s="1" t="s">
        <v>25</v>
      </c>
      <c r="C71">
        <v>2010</v>
      </c>
      <c r="D71">
        <v>209069940963.17725</v>
      </c>
      <c r="E71">
        <v>63592737554.487976</v>
      </c>
      <c r="F71">
        <v>5239650</v>
      </c>
      <c r="G71">
        <f t="shared" si="4"/>
        <v>26.065934678686649</v>
      </c>
      <c r="H71">
        <f t="shared" si="4"/>
        <v>24.87576511137754</v>
      </c>
      <c r="I71">
        <f t="shared" si="4"/>
        <v>15.471765260173283</v>
      </c>
      <c r="J71">
        <f t="shared" si="5"/>
        <v>9.4039998512042562</v>
      </c>
      <c r="K71">
        <v>1.32669997215271</v>
      </c>
      <c r="L71">
        <v>114</v>
      </c>
      <c r="M71">
        <f t="shared" si="6"/>
        <v>4.7361984483944957</v>
      </c>
      <c r="N71" s="2">
        <v>0.872</v>
      </c>
      <c r="O71">
        <v>1.29729211330414</v>
      </c>
      <c r="P71">
        <v>0.38459011912345897</v>
      </c>
    </row>
    <row r="72" spans="1:16" x14ac:dyDescent="0.25">
      <c r="A72" t="s">
        <v>10</v>
      </c>
      <c r="B72" s="1" t="s">
        <v>25</v>
      </c>
      <c r="C72">
        <v>2011</v>
      </c>
      <c r="D72">
        <v>229562733398.94751</v>
      </c>
      <c r="E72">
        <v>71099792324.971252</v>
      </c>
      <c r="F72">
        <v>5222763</v>
      </c>
      <c r="G72">
        <f t="shared" si="4"/>
        <v>26.159442177237775</v>
      </c>
      <c r="H72">
        <f t="shared" si="4"/>
        <v>24.987350252864861</v>
      </c>
      <c r="I72">
        <f t="shared" si="4"/>
        <v>15.468537130168341</v>
      </c>
      <c r="J72">
        <f t="shared" si="5"/>
        <v>9.5188131226965194</v>
      </c>
      <c r="K72">
        <v>1.5447700023651101</v>
      </c>
      <c r="L72">
        <v>97</v>
      </c>
      <c r="M72">
        <f t="shared" si="6"/>
        <v>4.5747109785033828</v>
      </c>
      <c r="N72" s="2">
        <v>0.876</v>
      </c>
      <c r="O72">
        <v>1.1957968473434399</v>
      </c>
      <c r="P72">
        <v>0.38360443711280801</v>
      </c>
    </row>
    <row r="73" spans="1:16" x14ac:dyDescent="0.25">
      <c r="A73" t="s">
        <v>10</v>
      </c>
      <c r="B73" s="1" t="s">
        <v>25</v>
      </c>
      <c r="C73">
        <v>2012</v>
      </c>
      <c r="D73">
        <v>208857719320.64871</v>
      </c>
      <c r="E73">
        <v>65003549993.61512</v>
      </c>
      <c r="F73">
        <v>5254149</v>
      </c>
      <c r="G73">
        <f t="shared" si="4"/>
        <v>26.064919088282199</v>
      </c>
      <c r="H73">
        <f t="shared" si="4"/>
        <v>24.897707720637076</v>
      </c>
      <c r="I73">
        <f t="shared" si="4"/>
        <v>15.474528608170765</v>
      </c>
      <c r="J73">
        <f t="shared" si="5"/>
        <v>9.4231791124663111</v>
      </c>
      <c r="K73">
        <v>1.76967000961304</v>
      </c>
      <c r="L73">
        <v>150</v>
      </c>
      <c r="M73">
        <f t="shared" si="6"/>
        <v>5.0106352940962555</v>
      </c>
      <c r="N73" s="2">
        <v>0.878</v>
      </c>
      <c r="O73">
        <v>1.05303382873535</v>
      </c>
      <c r="P73">
        <v>0.31017965078353898</v>
      </c>
    </row>
    <row r="74" spans="1:16" x14ac:dyDescent="0.25">
      <c r="A74" t="s">
        <v>10</v>
      </c>
      <c r="B74" s="1" t="s">
        <v>25</v>
      </c>
      <c r="C74">
        <v>2013</v>
      </c>
      <c r="D74">
        <v>211685616592.93109</v>
      </c>
      <c r="E74">
        <v>65003427763.60791</v>
      </c>
      <c r="F74">
        <v>5302824</v>
      </c>
      <c r="G74">
        <f t="shared" si="4"/>
        <v>26.078368070374371</v>
      </c>
      <c r="H74">
        <f t="shared" si="4"/>
        <v>24.897705840276352</v>
      </c>
      <c r="I74">
        <f t="shared" si="4"/>
        <v>15.483750066807429</v>
      </c>
      <c r="J74">
        <f t="shared" si="5"/>
        <v>9.4139557734689223</v>
      </c>
      <c r="K74">
        <v>1.87924003601074</v>
      </c>
      <c r="L74">
        <v>97</v>
      </c>
      <c r="M74">
        <f t="shared" si="6"/>
        <v>4.5747109785033828</v>
      </c>
      <c r="N74" s="2">
        <v>0.88400000000000001</v>
      </c>
      <c r="O74">
        <v>1.07856404781342</v>
      </c>
      <c r="P74">
        <v>0.29933762550353998</v>
      </c>
    </row>
    <row r="75" spans="1:16" x14ac:dyDescent="0.25">
      <c r="A75" t="s">
        <v>10</v>
      </c>
      <c r="B75" s="1" t="s">
        <v>25</v>
      </c>
      <c r="C75">
        <v>2014</v>
      </c>
      <c r="D75">
        <v>209358834156.32904</v>
      </c>
      <c r="E75">
        <v>67714368300.614235</v>
      </c>
      <c r="F75">
        <v>5300088</v>
      </c>
      <c r="G75">
        <f t="shared" si="4"/>
        <v>26.067315526545276</v>
      </c>
      <c r="H75">
        <f t="shared" si="4"/>
        <v>24.938564229214755</v>
      </c>
      <c r="I75">
        <f t="shared" si="4"/>
        <v>15.483233982158094</v>
      </c>
      <c r="J75">
        <f t="shared" si="5"/>
        <v>9.4553302470566614</v>
      </c>
      <c r="K75">
        <v>1.95833003520966</v>
      </c>
      <c r="L75">
        <v>62</v>
      </c>
      <c r="M75">
        <f t="shared" si="6"/>
        <v>4.1271343850450917</v>
      </c>
      <c r="N75" s="2">
        <v>0.88900000000000001</v>
      </c>
      <c r="O75">
        <v>1.00139343738556</v>
      </c>
      <c r="P75">
        <v>0.43006366491317699</v>
      </c>
    </row>
    <row r="76" spans="1:16" x14ac:dyDescent="0.25">
      <c r="A76" t="s">
        <v>10</v>
      </c>
      <c r="B76" s="1" t="s">
        <v>25</v>
      </c>
      <c r="C76">
        <v>2015</v>
      </c>
      <c r="D76">
        <v>188033050459.8811</v>
      </c>
      <c r="E76">
        <v>63790477158.392197</v>
      </c>
      <c r="F76">
        <v>5309480</v>
      </c>
      <c r="G76">
        <f t="shared" si="4"/>
        <v>25.959883584643812</v>
      </c>
      <c r="H76">
        <f t="shared" si="4"/>
        <v>24.878869755316401</v>
      </c>
      <c r="I76">
        <f t="shared" si="4"/>
        <v>15.485004459985907</v>
      </c>
      <c r="J76">
        <f t="shared" si="5"/>
        <v>9.3938652953304942</v>
      </c>
      <c r="K76">
        <v>1.9168900251388501</v>
      </c>
      <c r="L76">
        <v>72</v>
      </c>
      <c r="M76">
        <f t="shared" si="6"/>
        <v>4.2766661190160553</v>
      </c>
      <c r="N76" s="2">
        <v>0.89100000000000001</v>
      </c>
      <c r="O76">
        <v>1.0839152336120601</v>
      </c>
      <c r="P76">
        <v>0.46828186511993403</v>
      </c>
    </row>
    <row r="77" spans="1:16" x14ac:dyDescent="0.25">
      <c r="A77" t="s">
        <v>10</v>
      </c>
      <c r="B77" s="1" t="s">
        <v>25</v>
      </c>
      <c r="C77">
        <v>2016</v>
      </c>
      <c r="D77">
        <v>196272068576.33829</v>
      </c>
      <c r="E77">
        <v>66049202295.425087</v>
      </c>
      <c r="F77">
        <v>5354440</v>
      </c>
      <c r="G77">
        <f t="shared" si="4"/>
        <v>26.002767638631148</v>
      </c>
      <c r="H77">
        <f t="shared" si="4"/>
        <v>24.913665790558319</v>
      </c>
      <c r="I77">
        <f t="shared" si="4"/>
        <v>15.493436681232224</v>
      </c>
      <c r="J77">
        <f t="shared" si="5"/>
        <v>9.4202291093260957</v>
      </c>
      <c r="K77">
        <v>1.6700299978256199</v>
      </c>
      <c r="L77">
        <v>47</v>
      </c>
      <c r="M77">
        <f t="shared" si="6"/>
        <v>3.8501476017100584</v>
      </c>
      <c r="N77" s="2">
        <v>0.89400000000000002</v>
      </c>
      <c r="O77">
        <v>0.97371929883956898</v>
      </c>
      <c r="P77">
        <v>0.55631989240646396</v>
      </c>
    </row>
    <row r="78" spans="1:16" x14ac:dyDescent="0.25">
      <c r="A78" t="s">
        <v>10</v>
      </c>
      <c r="B78" s="1" t="s">
        <v>25</v>
      </c>
      <c r="C78">
        <v>2017</v>
      </c>
      <c r="D78">
        <v>218628940951.67508</v>
      </c>
      <c r="E78">
        <v>74100457727.90155</v>
      </c>
      <c r="F78">
        <v>5386053</v>
      </c>
      <c r="G78">
        <f t="shared" si="4"/>
        <v>26.110641796202412</v>
      </c>
      <c r="H78">
        <f t="shared" si="4"/>
        <v>25.028687546394035</v>
      </c>
      <c r="I78">
        <f t="shared" si="4"/>
        <v>15.499323392632039</v>
      </c>
      <c r="J78">
        <f t="shared" si="5"/>
        <v>9.5293641537619962</v>
      </c>
      <c r="K78">
        <v>1.76855003833771</v>
      </c>
      <c r="L78">
        <v>66</v>
      </c>
      <c r="M78">
        <f t="shared" si="6"/>
        <v>4.1896547420264252</v>
      </c>
      <c r="N78" s="2">
        <v>0.89600000000000002</v>
      </c>
      <c r="O78">
        <v>1.2222869396209699</v>
      </c>
      <c r="P78">
        <v>0.56847673654556297</v>
      </c>
    </row>
    <row r="79" spans="1:16" x14ac:dyDescent="0.25">
      <c r="A79" t="s">
        <v>10</v>
      </c>
      <c r="B79" s="1" t="s">
        <v>25</v>
      </c>
      <c r="C79">
        <v>2018</v>
      </c>
      <c r="D79">
        <v>249000540729.17868</v>
      </c>
      <c r="E79">
        <v>82507495426.8116</v>
      </c>
      <c r="F79">
        <v>5425122</v>
      </c>
      <c r="G79">
        <f t="shared" si="4"/>
        <v>26.240720905011887</v>
      </c>
      <c r="H79">
        <f t="shared" si="4"/>
        <v>25.136154979818425</v>
      </c>
      <c r="I79">
        <f t="shared" si="4"/>
        <v>15.506550945617198</v>
      </c>
      <c r="J79">
        <f t="shared" si="5"/>
        <v>9.6296040342012272</v>
      </c>
      <c r="K79">
        <v>1.89906001091003</v>
      </c>
      <c r="L79">
        <v>54</v>
      </c>
      <c r="M79">
        <f t="shared" si="6"/>
        <v>3.9889840465642745</v>
      </c>
      <c r="N79" s="2">
        <v>0.89300000000000002</v>
      </c>
      <c r="O79">
        <v>1.2673079967498799</v>
      </c>
      <c r="P79">
        <v>0.51007062196731601</v>
      </c>
    </row>
    <row r="80" spans="1:16" x14ac:dyDescent="0.25">
      <c r="A80" t="s">
        <v>10</v>
      </c>
      <c r="B80" s="1" t="s">
        <v>25</v>
      </c>
      <c r="C80">
        <v>2019</v>
      </c>
      <c r="D80">
        <v>252548179964.89661</v>
      </c>
      <c r="E80">
        <v>84845010847.169373</v>
      </c>
      <c r="F80">
        <v>5421467</v>
      </c>
      <c r="G80">
        <f t="shared" si="4"/>
        <v>26.254867879201747</v>
      </c>
      <c r="H80">
        <f t="shared" si="4"/>
        <v>25.164092027218082</v>
      </c>
      <c r="I80">
        <f t="shared" si="4"/>
        <v>15.505877000999522</v>
      </c>
      <c r="J80">
        <f t="shared" si="5"/>
        <v>9.65821502621856</v>
      </c>
      <c r="K80">
        <v>1.92734003067017</v>
      </c>
      <c r="L80">
        <v>48</v>
      </c>
      <c r="M80">
        <f t="shared" si="6"/>
        <v>3.8712010109078911</v>
      </c>
      <c r="N80" s="2">
        <v>0.89600000000000002</v>
      </c>
      <c r="O80">
        <v>1.23532867431641</v>
      </c>
      <c r="P80">
        <v>0.53379094600677501</v>
      </c>
    </row>
    <row r="81" spans="1:16" x14ac:dyDescent="0.25">
      <c r="A81" t="s">
        <v>10</v>
      </c>
      <c r="B81" s="1" t="s">
        <v>25</v>
      </c>
      <c r="C81">
        <v>2020</v>
      </c>
      <c r="D81">
        <v>245974558654.04294</v>
      </c>
      <c r="E81">
        <v>80932389784.685654</v>
      </c>
      <c r="F81">
        <v>5375292</v>
      </c>
      <c r="G81">
        <f t="shared" si="4"/>
        <v>26.228493947425029</v>
      </c>
      <c r="H81">
        <f t="shared" si="4"/>
        <v>25.116879949051604</v>
      </c>
      <c r="I81">
        <f t="shared" si="4"/>
        <v>15.497323456083816</v>
      </c>
      <c r="J81">
        <f t="shared" si="5"/>
        <v>9.6195564929677886</v>
      </c>
      <c r="K81">
        <v>1.98599004745483</v>
      </c>
      <c r="L81">
        <v>56</v>
      </c>
      <c r="M81">
        <f t="shared" si="6"/>
        <v>4.0253516907351496</v>
      </c>
      <c r="N81" s="2">
        <v>0.89100000000000001</v>
      </c>
      <c r="O81">
        <v>1.23466849327087</v>
      </c>
      <c r="P81">
        <v>0.555802822113037</v>
      </c>
    </row>
    <row r="82" spans="1:16" x14ac:dyDescent="0.25">
      <c r="A82" t="s">
        <v>72</v>
      </c>
      <c r="B82" s="1" t="s">
        <v>75</v>
      </c>
      <c r="C82">
        <v>2005</v>
      </c>
      <c r="D82">
        <v>264467336457.16953</v>
      </c>
      <c r="E82">
        <v>73286389634.644562</v>
      </c>
      <c r="F82">
        <v>2893154</v>
      </c>
      <c r="G82">
        <f t="shared" si="4"/>
        <v>26.300983588963728</v>
      </c>
      <c r="H82">
        <f t="shared" si="4"/>
        <v>25.017640748306956</v>
      </c>
      <c r="I82">
        <f t="shared" si="4"/>
        <v>14.877857814480667</v>
      </c>
      <c r="J82">
        <f t="shared" si="5"/>
        <v>10.139782933826289</v>
      </c>
      <c r="K82">
        <v>2.3933699131011998</v>
      </c>
      <c r="L82">
        <v>165</v>
      </c>
      <c r="M82">
        <f t="shared" si="6"/>
        <v>5.1059454739005803</v>
      </c>
      <c r="N82" s="2">
        <v>0.91100000000000003</v>
      </c>
      <c r="O82">
        <v>1.64963126182556</v>
      </c>
      <c r="P82">
        <v>2.2782056331634499</v>
      </c>
    </row>
    <row r="83" spans="1:16" x14ac:dyDescent="0.25">
      <c r="A83" t="s">
        <v>72</v>
      </c>
      <c r="B83" s="1" t="s">
        <v>75</v>
      </c>
      <c r="C83">
        <v>2006</v>
      </c>
      <c r="D83">
        <v>282884947702.96631</v>
      </c>
      <c r="E83">
        <v>80315700040.357849</v>
      </c>
      <c r="F83">
        <v>2917717</v>
      </c>
      <c r="G83">
        <f t="shared" ref="G83:I130" si="7">LN(D83)</f>
        <v>26.368306106708538</v>
      </c>
      <c r="H83">
        <f t="shared" si="7"/>
        <v>25.109230956102653</v>
      </c>
      <c r="I83">
        <f t="shared" si="7"/>
        <v>14.886312019125816</v>
      </c>
      <c r="J83">
        <f t="shared" si="5"/>
        <v>10.222918936976837</v>
      </c>
      <c r="K83">
        <v>2.4030001163482702</v>
      </c>
      <c r="L83">
        <v>188</v>
      </c>
      <c r="M83">
        <f t="shared" si="6"/>
        <v>5.2364419628299492</v>
      </c>
      <c r="N83" s="2">
        <v>0.91100000000000003</v>
      </c>
      <c r="O83">
        <v>1.80342781543732</v>
      </c>
      <c r="P83">
        <v>2.45911836624146</v>
      </c>
    </row>
    <row r="84" spans="1:16" x14ac:dyDescent="0.25">
      <c r="A84" t="s">
        <v>72</v>
      </c>
      <c r="B84" s="1" t="s">
        <v>75</v>
      </c>
      <c r="C84">
        <v>2007</v>
      </c>
      <c r="D84">
        <v>319423424509.06555</v>
      </c>
      <c r="E84">
        <v>89997711115.601532</v>
      </c>
      <c r="F84">
        <v>2924753</v>
      </c>
      <c r="G84">
        <f t="shared" si="7"/>
        <v>26.48978340913979</v>
      </c>
      <c r="H84">
        <f t="shared" si="7"/>
        <v>25.223050074904403</v>
      </c>
      <c r="I84">
        <f t="shared" si="7"/>
        <v>14.888720590638016</v>
      </c>
      <c r="J84">
        <f t="shared" si="5"/>
        <v>10.334329484266387</v>
      </c>
      <c r="K84">
        <v>2.5154099464416499</v>
      </c>
      <c r="L84">
        <v>197</v>
      </c>
      <c r="M84">
        <f t="shared" si="6"/>
        <v>5.2832037287379885</v>
      </c>
      <c r="N84" s="2">
        <v>0.91200000000000003</v>
      </c>
      <c r="O84">
        <v>1.92670845985413</v>
      </c>
      <c r="P84">
        <v>2.4348340034484899</v>
      </c>
    </row>
    <row r="85" spans="1:16" x14ac:dyDescent="0.25">
      <c r="A85" t="s">
        <v>72</v>
      </c>
      <c r="B85" s="1" t="s">
        <v>75</v>
      </c>
      <c r="C85">
        <v>2008</v>
      </c>
      <c r="D85">
        <v>353361038818.38336</v>
      </c>
      <c r="E85">
        <v>97200633177.065979</v>
      </c>
      <c r="F85">
        <v>2918710</v>
      </c>
      <c r="G85">
        <f t="shared" si="7"/>
        <v>26.590756144060514</v>
      </c>
      <c r="H85">
        <f t="shared" si="7"/>
        <v>25.300043062558935</v>
      </c>
      <c r="I85">
        <f t="shared" si="7"/>
        <v>14.886652295808648</v>
      </c>
      <c r="J85">
        <f t="shared" si="5"/>
        <v>10.413390766750286</v>
      </c>
      <c r="K85">
        <v>2.77345991134644</v>
      </c>
      <c r="L85">
        <v>195</v>
      </c>
      <c r="M85">
        <f t="shared" si="6"/>
        <v>5.2729995585637468</v>
      </c>
      <c r="N85" s="2">
        <v>0.91500000000000004</v>
      </c>
      <c r="O85">
        <v>1.8736473321914699</v>
      </c>
      <c r="P85">
        <v>2.3764088153839098</v>
      </c>
    </row>
    <row r="86" spans="1:16" x14ac:dyDescent="0.25">
      <c r="A86" t="s">
        <v>72</v>
      </c>
      <c r="B86" s="1" t="s">
        <v>75</v>
      </c>
      <c r="C86">
        <v>2009</v>
      </c>
      <c r="D86">
        <v>321241303699.00574</v>
      </c>
      <c r="E86">
        <v>75766194295.733932</v>
      </c>
      <c r="F86">
        <v>2909160</v>
      </c>
      <c r="G86">
        <f t="shared" si="7"/>
        <v>26.49545840259179</v>
      </c>
      <c r="H86">
        <f t="shared" si="7"/>
        <v>25.050918044569197</v>
      </c>
      <c r="I86">
        <f t="shared" si="7"/>
        <v>14.883374937683604</v>
      </c>
      <c r="J86">
        <f t="shared" si="5"/>
        <v>10.167543106885594</v>
      </c>
      <c r="K86">
        <v>3.0551400184631299</v>
      </c>
      <c r="L86">
        <v>131</v>
      </c>
      <c r="M86">
        <f t="shared" si="6"/>
        <v>4.8751973232011512</v>
      </c>
      <c r="N86" s="2">
        <v>0.90900000000000003</v>
      </c>
      <c r="O86">
        <v>1.87865126132965</v>
      </c>
      <c r="P86">
        <v>2.4354944229125999</v>
      </c>
    </row>
    <row r="87" spans="1:16" x14ac:dyDescent="0.25">
      <c r="A87" t="s">
        <v>72</v>
      </c>
      <c r="B87" s="1" t="s">
        <v>75</v>
      </c>
      <c r="C87">
        <v>2010</v>
      </c>
      <c r="D87">
        <v>321995279401.50159</v>
      </c>
      <c r="E87">
        <v>80569405813.400421</v>
      </c>
      <c r="F87">
        <v>2888564</v>
      </c>
      <c r="G87">
        <f t="shared" si="7"/>
        <v>26.497802722139575</v>
      </c>
      <c r="H87">
        <f t="shared" si="7"/>
        <v>25.112384833921187</v>
      </c>
      <c r="I87">
        <f t="shared" si="7"/>
        <v>14.876270050786802</v>
      </c>
      <c r="J87">
        <f t="shared" si="5"/>
        <v>10.236114783134385</v>
      </c>
      <c r="K87">
        <v>2.9170699119567902</v>
      </c>
      <c r="L87">
        <v>142</v>
      </c>
      <c r="M87">
        <f t="shared" si="6"/>
        <v>4.9558270576012609</v>
      </c>
      <c r="N87" s="2">
        <v>0.91300000000000003</v>
      </c>
      <c r="O87">
        <v>1.8738543987274201</v>
      </c>
      <c r="P87">
        <v>2.3523590564727801</v>
      </c>
    </row>
    <row r="88" spans="1:16" x14ac:dyDescent="0.25">
      <c r="A88" t="s">
        <v>72</v>
      </c>
      <c r="B88" s="1" t="s">
        <v>75</v>
      </c>
      <c r="C88">
        <v>2011</v>
      </c>
      <c r="D88">
        <v>344003137611.27118</v>
      </c>
      <c r="E88">
        <v>87794591853.089508</v>
      </c>
      <c r="F88">
        <v>2887130</v>
      </c>
      <c r="G88">
        <f t="shared" si="7"/>
        <v>26.563916615241212</v>
      </c>
      <c r="H88">
        <f t="shared" si="7"/>
        <v>25.198265739484089</v>
      </c>
      <c r="I88">
        <f t="shared" si="7"/>
        <v>14.875773487073605</v>
      </c>
      <c r="J88">
        <f t="shared" si="5"/>
        <v>10.322492252410484</v>
      </c>
      <c r="K88">
        <v>2.9446499347686799</v>
      </c>
      <c r="L88">
        <v>197</v>
      </c>
      <c r="M88">
        <f t="shared" si="6"/>
        <v>5.2832037287379885</v>
      </c>
      <c r="N88" s="2">
        <v>0.92700000000000005</v>
      </c>
      <c r="O88">
        <v>1.89863109588623</v>
      </c>
      <c r="P88">
        <v>2.39288401603699</v>
      </c>
    </row>
    <row r="89" spans="1:16" x14ac:dyDescent="0.25">
      <c r="A89" t="s">
        <v>72</v>
      </c>
      <c r="B89" s="1" t="s">
        <v>75</v>
      </c>
      <c r="C89">
        <v>2012</v>
      </c>
      <c r="D89">
        <v>327148943812.1366</v>
      </c>
      <c r="E89">
        <v>83378530286.701996</v>
      </c>
      <c r="F89">
        <v>2871734</v>
      </c>
      <c r="G89">
        <f t="shared" si="7"/>
        <v>26.513681389805583</v>
      </c>
      <c r="H89">
        <f t="shared" si="7"/>
        <v>25.146656682555079</v>
      </c>
      <c r="I89">
        <f t="shared" si="7"/>
        <v>14.870426586476503</v>
      </c>
      <c r="J89">
        <f t="shared" si="5"/>
        <v>10.276230096078576</v>
      </c>
      <c r="K89">
        <v>2.9812500476837198</v>
      </c>
      <c r="L89">
        <v>229</v>
      </c>
      <c r="M89">
        <f t="shared" si="6"/>
        <v>5.43372200355424</v>
      </c>
      <c r="N89" s="2">
        <v>0.93100000000000005</v>
      </c>
      <c r="O89">
        <v>1.79916131496429</v>
      </c>
      <c r="P89">
        <v>2.3824622631072998</v>
      </c>
    </row>
    <row r="90" spans="1:16" x14ac:dyDescent="0.25">
      <c r="A90" t="s">
        <v>72</v>
      </c>
      <c r="B90" s="1" t="s">
        <v>75</v>
      </c>
      <c r="C90">
        <v>2013</v>
      </c>
      <c r="D90">
        <v>343584391647.92706</v>
      </c>
      <c r="E90">
        <v>90356876960.563553</v>
      </c>
      <c r="F90">
        <v>2850392</v>
      </c>
      <c r="G90">
        <f t="shared" si="7"/>
        <v>26.562698600087373</v>
      </c>
      <c r="H90">
        <f t="shared" si="7"/>
        <v>25.227032965759502</v>
      </c>
      <c r="I90">
        <f t="shared" si="7"/>
        <v>14.862967086646194</v>
      </c>
      <c r="J90">
        <f t="shared" si="5"/>
        <v>10.364065879113308</v>
      </c>
      <c r="K90">
        <v>2.97047996520996</v>
      </c>
      <c r="L90">
        <v>193</v>
      </c>
      <c r="M90">
        <f t="shared" si="6"/>
        <v>5.2626901889048856</v>
      </c>
      <c r="N90" s="2">
        <v>0.93300000000000005</v>
      </c>
      <c r="O90">
        <v>1.80028736591339</v>
      </c>
      <c r="P90">
        <v>2.39926409721375</v>
      </c>
    </row>
    <row r="91" spans="1:16" x14ac:dyDescent="0.25">
      <c r="A91" t="s">
        <v>72</v>
      </c>
      <c r="B91" s="1" t="s">
        <v>75</v>
      </c>
      <c r="C91">
        <v>2014</v>
      </c>
      <c r="D91">
        <v>352993631617.70801</v>
      </c>
      <c r="E91">
        <v>95496728770.475204</v>
      </c>
      <c r="F91">
        <v>2865028</v>
      </c>
      <c r="G91">
        <f t="shared" si="7"/>
        <v>26.589715852973935</v>
      </c>
      <c r="H91">
        <f t="shared" si="7"/>
        <v>25.282357830134121</v>
      </c>
      <c r="I91">
        <f t="shared" si="7"/>
        <v>14.86808868120713</v>
      </c>
      <c r="J91">
        <f t="shared" si="5"/>
        <v>10.414269148926991</v>
      </c>
      <c r="K91">
        <v>2.9140899181365998</v>
      </c>
      <c r="L91">
        <v>206</v>
      </c>
      <c r="M91">
        <f t="shared" si="6"/>
        <v>5.3278761687895813</v>
      </c>
      <c r="N91" s="2">
        <v>0.93200000000000005</v>
      </c>
      <c r="O91">
        <v>1.6811044216155999</v>
      </c>
      <c r="P91">
        <v>2.25234031677246</v>
      </c>
    </row>
    <row r="92" spans="1:16" x14ac:dyDescent="0.25">
      <c r="A92" t="s">
        <v>72</v>
      </c>
      <c r="B92" s="1" t="s">
        <v>75</v>
      </c>
      <c r="C92">
        <v>2015</v>
      </c>
      <c r="D92">
        <v>302673070846.85724</v>
      </c>
      <c r="E92">
        <v>82990942948.65834</v>
      </c>
      <c r="F92">
        <v>2895364</v>
      </c>
      <c r="G92">
        <f t="shared" si="7"/>
        <v>26.435919085841395</v>
      </c>
      <c r="H92">
        <f t="shared" si="7"/>
        <v>25.141997317688368</v>
      </c>
      <c r="I92">
        <f t="shared" si="7"/>
        <v>14.878621395109553</v>
      </c>
      <c r="J92">
        <f t="shared" si="5"/>
        <v>10.263375922578815</v>
      </c>
      <c r="K92">
        <v>3.0549700260162398</v>
      </c>
      <c r="L92">
        <v>270</v>
      </c>
      <c r="M92">
        <f t="shared" si="6"/>
        <v>5.598421958998375</v>
      </c>
      <c r="N92" s="2">
        <v>0.93600000000000005</v>
      </c>
      <c r="O92">
        <v>1.72294008731842</v>
      </c>
      <c r="P92">
        <v>2.1860623359680198</v>
      </c>
    </row>
    <row r="93" spans="1:16" x14ac:dyDescent="0.25">
      <c r="A93" t="s">
        <v>72</v>
      </c>
      <c r="B93" s="1" t="s">
        <v>75</v>
      </c>
      <c r="C93">
        <v>2016</v>
      </c>
      <c r="D93">
        <v>313115929314.33856</v>
      </c>
      <c r="E93">
        <v>89108200622.372742</v>
      </c>
      <c r="F93">
        <v>2939677</v>
      </c>
      <c r="G93">
        <f t="shared" si="7"/>
        <v>26.469839340108351</v>
      </c>
      <c r="H93">
        <f t="shared" si="7"/>
        <v>25.213117205598369</v>
      </c>
      <c r="I93">
        <f t="shared" si="7"/>
        <v>14.8938102693338</v>
      </c>
      <c r="J93">
        <f t="shared" si="5"/>
        <v>10.319306936264569</v>
      </c>
      <c r="K93">
        <v>3.0928299427032502</v>
      </c>
      <c r="L93">
        <v>298</v>
      </c>
      <c r="M93">
        <f t="shared" si="6"/>
        <v>5.6970934865054046</v>
      </c>
      <c r="N93" s="2">
        <v>0.94299999999999995</v>
      </c>
      <c r="O93">
        <v>1.56364238262177</v>
      </c>
      <c r="P93">
        <v>2.2028851509094198</v>
      </c>
    </row>
    <row r="94" spans="1:16" x14ac:dyDescent="0.25">
      <c r="A94" t="s">
        <v>72</v>
      </c>
      <c r="B94" s="1" t="s">
        <v>75</v>
      </c>
      <c r="C94">
        <v>2017</v>
      </c>
      <c r="D94">
        <v>332121063806.39056</v>
      </c>
      <c r="E94">
        <v>97073757336.533463</v>
      </c>
      <c r="F94">
        <v>2966464</v>
      </c>
      <c r="G94">
        <f t="shared" si="7"/>
        <v>26.52876538941349</v>
      </c>
      <c r="H94">
        <f t="shared" si="7"/>
        <v>25.298736911416366</v>
      </c>
      <c r="I94">
        <f t="shared" si="7"/>
        <v>14.902881229093968</v>
      </c>
      <c r="J94">
        <f t="shared" si="5"/>
        <v>10.395855682322399</v>
      </c>
      <c r="K94">
        <v>2.9312400817871098</v>
      </c>
      <c r="L94">
        <v>282</v>
      </c>
      <c r="M94">
        <f t="shared" si="6"/>
        <v>5.6419070709381138</v>
      </c>
      <c r="N94" s="2">
        <v>0.94399999999999995</v>
      </c>
      <c r="O94">
        <v>1.61177861690521</v>
      </c>
      <c r="P94">
        <v>2.1901321411132799</v>
      </c>
    </row>
    <row r="95" spans="1:16" x14ac:dyDescent="0.25">
      <c r="A95" t="s">
        <v>72</v>
      </c>
      <c r="B95" s="1" t="s">
        <v>75</v>
      </c>
      <c r="C95">
        <v>2018</v>
      </c>
      <c r="D95">
        <v>356841216410.06769</v>
      </c>
      <c r="E95">
        <v>102570083465.30765</v>
      </c>
      <c r="F95">
        <v>2990219</v>
      </c>
      <c r="G95">
        <f t="shared" si="7"/>
        <v>26.60055674782507</v>
      </c>
      <c r="H95">
        <f t="shared" si="7"/>
        <v>25.35381214300536</v>
      </c>
      <c r="I95">
        <f t="shared" si="7"/>
        <v>14.910857186831805</v>
      </c>
      <c r="J95">
        <f t="shared" si="5"/>
        <v>10.442954956173555</v>
      </c>
      <c r="K95">
        <v>2.9660298824310298</v>
      </c>
      <c r="L95">
        <v>239</v>
      </c>
      <c r="M95">
        <f t="shared" si="6"/>
        <v>5.476463551931511</v>
      </c>
      <c r="N95" s="2">
        <v>0.94199999999999995</v>
      </c>
      <c r="O95">
        <v>1.6283941268920901</v>
      </c>
      <c r="P95">
        <v>2.1564791202545202</v>
      </c>
    </row>
    <row r="96" spans="1:16" x14ac:dyDescent="0.25">
      <c r="A96" t="s">
        <v>72</v>
      </c>
      <c r="B96" s="1" t="s">
        <v>75</v>
      </c>
      <c r="C96">
        <v>2019</v>
      </c>
      <c r="D96">
        <v>346498737961.63519</v>
      </c>
      <c r="E96">
        <v>100216526285.21715</v>
      </c>
      <c r="F96">
        <v>3032098</v>
      </c>
      <c r="G96">
        <f t="shared" si="7"/>
        <v>26.571145013323374</v>
      </c>
      <c r="H96">
        <f t="shared" si="7"/>
        <v>25.330598944983425</v>
      </c>
      <c r="I96">
        <f t="shared" si="7"/>
        <v>14.924765347121793</v>
      </c>
      <c r="J96">
        <f t="shared" si="5"/>
        <v>10.405833597861632</v>
      </c>
      <c r="K96">
        <v>2.89685010910034</v>
      </c>
      <c r="L96">
        <v>228</v>
      </c>
      <c r="M96">
        <f t="shared" si="6"/>
        <v>5.4293456289544411</v>
      </c>
      <c r="N96" s="2">
        <v>0.94599999999999995</v>
      </c>
      <c r="O96">
        <v>1.5476325750351001</v>
      </c>
      <c r="P96">
        <v>2.1216173171997101</v>
      </c>
    </row>
    <row r="97" spans="1:16" x14ac:dyDescent="0.25">
      <c r="A97" t="s">
        <v>72</v>
      </c>
      <c r="B97" s="1" t="s">
        <v>75</v>
      </c>
      <c r="C97">
        <v>2020</v>
      </c>
      <c r="D97">
        <v>354762748338.6615</v>
      </c>
      <c r="E97">
        <v>102840582885.17</v>
      </c>
      <c r="F97">
        <v>3028252</v>
      </c>
      <c r="G97">
        <f t="shared" si="7"/>
        <v>26.594715088461133</v>
      </c>
      <c r="H97">
        <f t="shared" si="7"/>
        <v>25.356445887211837</v>
      </c>
      <c r="I97">
        <f t="shared" si="7"/>
        <v>14.923496113326284</v>
      </c>
      <c r="J97">
        <f t="shared" si="5"/>
        <v>10.432949773885554</v>
      </c>
      <c r="K97">
        <v>2.9687299728393599</v>
      </c>
      <c r="L97">
        <v>217</v>
      </c>
      <c r="M97">
        <f t="shared" si="6"/>
        <v>5.3798973535404597</v>
      </c>
      <c r="N97" s="2">
        <v>0.94599999999999995</v>
      </c>
      <c r="O97">
        <v>1.7857245206832899</v>
      </c>
      <c r="P97">
        <v>2.2364687919616699</v>
      </c>
    </row>
    <row r="98" spans="1:16" x14ac:dyDescent="0.25">
      <c r="A98" t="s">
        <v>32</v>
      </c>
      <c r="B98" s="1" t="s">
        <v>11</v>
      </c>
      <c r="C98">
        <v>2005</v>
      </c>
      <c r="D98">
        <v>204885494686.38123</v>
      </c>
      <c r="E98">
        <v>59316980096.498024</v>
      </c>
      <c r="F98">
        <v>2632616</v>
      </c>
      <c r="G98">
        <f t="shared" si="7"/>
        <v>26.045717097525213</v>
      </c>
      <c r="H98">
        <f t="shared" si="7"/>
        <v>24.806161444230064</v>
      </c>
      <c r="I98">
        <f t="shared" si="7"/>
        <v>14.783488586596851</v>
      </c>
      <c r="J98">
        <f t="shared" si="5"/>
        <v>10.022672857633212</v>
      </c>
      <c r="K98">
        <v>3.3236999511718799</v>
      </c>
      <c r="L98">
        <v>229</v>
      </c>
      <c r="M98">
        <f t="shared" si="6"/>
        <v>5.43372200355424</v>
      </c>
      <c r="N98" s="2">
        <v>0.90400000000000003</v>
      </c>
      <c r="O98">
        <v>1.66158723831177</v>
      </c>
      <c r="P98">
        <v>2.3147189617157</v>
      </c>
    </row>
    <row r="99" spans="1:16" x14ac:dyDescent="0.25">
      <c r="A99" t="s">
        <v>32</v>
      </c>
      <c r="B99" s="1" t="s">
        <v>11</v>
      </c>
      <c r="C99">
        <v>2006</v>
      </c>
      <c r="D99">
        <v>217089269791.7644</v>
      </c>
      <c r="E99">
        <v>62654381294.117561</v>
      </c>
      <c r="F99">
        <v>2660139</v>
      </c>
      <c r="G99">
        <f t="shared" si="7"/>
        <v>26.103574487421557</v>
      </c>
      <c r="H99">
        <f t="shared" si="7"/>
        <v>24.860899448710299</v>
      </c>
      <c r="I99">
        <f t="shared" si="7"/>
        <v>14.793888935031701</v>
      </c>
      <c r="J99">
        <f t="shared" si="5"/>
        <v>10.067010513678598</v>
      </c>
      <c r="K99">
        <v>3.3321499824523899</v>
      </c>
      <c r="L99">
        <v>202</v>
      </c>
      <c r="M99">
        <f t="shared" si="6"/>
        <v>5.3082676974012051</v>
      </c>
      <c r="N99" s="2">
        <v>0.90900000000000003</v>
      </c>
      <c r="O99">
        <v>1.6018197536468499</v>
      </c>
      <c r="P99">
        <v>2.4541108608245898</v>
      </c>
    </row>
    <row r="100" spans="1:16" x14ac:dyDescent="0.25">
      <c r="A100" t="s">
        <v>32</v>
      </c>
      <c r="B100" s="1" t="s">
        <v>11</v>
      </c>
      <c r="C100">
        <v>2007</v>
      </c>
      <c r="D100">
        <v>256378067752.15768</v>
      </c>
      <c r="E100">
        <v>78599656505.098297</v>
      </c>
      <c r="F100">
        <v>2687154</v>
      </c>
      <c r="G100">
        <f t="shared" si="7"/>
        <v>26.269919019146087</v>
      </c>
      <c r="H100">
        <f t="shared" si="7"/>
        <v>25.08763316620788</v>
      </c>
      <c r="I100">
        <f t="shared" si="7"/>
        <v>14.803993198943765</v>
      </c>
      <c r="J100">
        <f t="shared" si="5"/>
        <v>10.283639967264115</v>
      </c>
      <c r="K100">
        <v>3.3370399475097701</v>
      </c>
      <c r="L100">
        <v>211</v>
      </c>
      <c r="M100">
        <f t="shared" si="6"/>
        <v>5.3518581334760666</v>
      </c>
      <c r="N100" s="2">
        <v>0.91100000000000003</v>
      </c>
      <c r="O100">
        <v>1.5488812923431401</v>
      </c>
      <c r="P100">
        <v>2.3894774913787802</v>
      </c>
    </row>
    <row r="101" spans="1:16" x14ac:dyDescent="0.25">
      <c r="A101" t="s">
        <v>32</v>
      </c>
      <c r="B101" s="1" t="s">
        <v>11</v>
      </c>
      <c r="C101">
        <v>2008</v>
      </c>
      <c r="D101">
        <v>285716311136.71869</v>
      </c>
      <c r="E101">
        <v>83181517046.093735</v>
      </c>
      <c r="F101">
        <v>2715926</v>
      </c>
      <c r="G101">
        <f t="shared" si="7"/>
        <v>26.378265236386568</v>
      </c>
      <c r="H101">
        <f t="shared" si="7"/>
        <v>25.144291009206114</v>
      </c>
      <c r="I101">
        <f t="shared" si="7"/>
        <v>14.814643521339621</v>
      </c>
      <c r="J101">
        <f t="shared" si="5"/>
        <v>10.329647487866493</v>
      </c>
      <c r="K101">
        <v>3.53696990013123</v>
      </c>
      <c r="L101">
        <v>147</v>
      </c>
      <c r="M101">
        <f t="shared" si="6"/>
        <v>4.990432586778736</v>
      </c>
      <c r="N101" s="2">
        <v>0.91300000000000003</v>
      </c>
      <c r="O101">
        <v>1.6109313964843801</v>
      </c>
      <c r="P101">
        <v>2.3208458423614502</v>
      </c>
    </row>
    <row r="102" spans="1:16" x14ac:dyDescent="0.25">
      <c r="A102" t="s">
        <v>32</v>
      </c>
      <c r="B102" s="1" t="s">
        <v>11</v>
      </c>
      <c r="C102">
        <v>2009</v>
      </c>
      <c r="D102">
        <v>253497520828.51544</v>
      </c>
      <c r="E102">
        <v>60299233662.499962</v>
      </c>
      <c r="F102">
        <v>2688826</v>
      </c>
      <c r="G102">
        <f t="shared" si="7"/>
        <v>26.258619880160659</v>
      </c>
      <c r="H102">
        <f t="shared" si="7"/>
        <v>24.822585231850866</v>
      </c>
      <c r="I102">
        <f t="shared" si="7"/>
        <v>14.80461522508743</v>
      </c>
      <c r="J102">
        <f t="shared" si="5"/>
        <v>10.017970006763436</v>
      </c>
      <c r="K102">
        <v>3.73401999473572</v>
      </c>
      <c r="L102">
        <v>127</v>
      </c>
      <c r="M102">
        <f t="shared" si="6"/>
        <v>4.8441870864585912</v>
      </c>
      <c r="N102" s="2">
        <v>0.90800000000000003</v>
      </c>
      <c r="O102">
        <v>1.80945932865143</v>
      </c>
      <c r="P102">
        <v>2.2407186031341602</v>
      </c>
    </row>
    <row r="103" spans="1:16" x14ac:dyDescent="0.25">
      <c r="A103" t="s">
        <v>32</v>
      </c>
      <c r="B103" s="1" t="s">
        <v>11</v>
      </c>
      <c r="C103">
        <v>2010</v>
      </c>
      <c r="D103">
        <v>249424310816.66714</v>
      </c>
      <c r="E103">
        <v>59072608950.000114</v>
      </c>
      <c r="F103">
        <v>2678175</v>
      </c>
      <c r="G103">
        <f t="shared" si="7"/>
        <v>26.242421342653731</v>
      </c>
      <c r="H103">
        <f t="shared" si="7"/>
        <v>24.802033184380115</v>
      </c>
      <c r="I103">
        <f t="shared" si="7"/>
        <v>14.8006461503723</v>
      </c>
      <c r="J103">
        <f t="shared" si="5"/>
        <v>10.001387034007815</v>
      </c>
      <c r="K103">
        <v>3.7053198814392099</v>
      </c>
      <c r="L103">
        <v>102</v>
      </c>
      <c r="M103">
        <f t="shared" si="6"/>
        <v>4.6249728132842707</v>
      </c>
      <c r="N103" s="2">
        <v>0.91200000000000003</v>
      </c>
      <c r="O103">
        <v>1.87310171127319</v>
      </c>
      <c r="P103">
        <v>2.1516697406768799</v>
      </c>
    </row>
    <row r="104" spans="1:16" x14ac:dyDescent="0.25">
      <c r="A104" t="s">
        <v>32</v>
      </c>
      <c r="B104" s="1" t="s">
        <v>11</v>
      </c>
      <c r="C104">
        <v>2011</v>
      </c>
      <c r="D104">
        <v>275604356167.31573</v>
      </c>
      <c r="E104">
        <v>64702256021.400909</v>
      </c>
      <c r="F104">
        <v>2693382</v>
      </c>
      <c r="G104">
        <f t="shared" si="7"/>
        <v>26.342232182083336</v>
      </c>
      <c r="H104">
        <f t="shared" si="7"/>
        <v>24.893061906800551</v>
      </c>
      <c r="I104">
        <f t="shared" si="7"/>
        <v>14.806308210972851</v>
      </c>
      <c r="J104">
        <f t="shared" si="5"/>
        <v>10.086753695827699</v>
      </c>
      <c r="K104">
        <v>3.6180601119995099</v>
      </c>
      <c r="L104">
        <v>124</v>
      </c>
      <c r="M104">
        <f t="shared" si="6"/>
        <v>4.8202815656050371</v>
      </c>
      <c r="N104" s="2">
        <v>0.91600000000000004</v>
      </c>
      <c r="O104">
        <v>1.8133298158645601</v>
      </c>
      <c r="P104">
        <v>2.1919150352478001</v>
      </c>
    </row>
    <row r="105" spans="1:16" x14ac:dyDescent="0.25">
      <c r="A105" t="s">
        <v>32</v>
      </c>
      <c r="B105" s="1" t="s">
        <v>11</v>
      </c>
      <c r="C105">
        <v>2012</v>
      </c>
      <c r="D105">
        <v>258290060227.73444</v>
      </c>
      <c r="E105">
        <v>56463892551.562515</v>
      </c>
      <c r="F105">
        <v>2700773</v>
      </c>
      <c r="G105">
        <f t="shared" si="7"/>
        <v>26.277349054804617</v>
      </c>
      <c r="H105">
        <f t="shared" si="7"/>
        <v>24.756867200922756</v>
      </c>
      <c r="I105">
        <f t="shared" si="7"/>
        <v>14.809048586295889</v>
      </c>
      <c r="J105">
        <f t="shared" si="5"/>
        <v>9.9478186146268666</v>
      </c>
      <c r="K105">
        <v>3.3983199596404998</v>
      </c>
      <c r="L105">
        <v>129</v>
      </c>
      <c r="M105">
        <f t="shared" si="6"/>
        <v>4.8598124043616719</v>
      </c>
      <c r="N105" s="2">
        <v>0.91600000000000004</v>
      </c>
      <c r="O105">
        <v>1.8215891122818</v>
      </c>
      <c r="P105">
        <v>2.22684669494629</v>
      </c>
    </row>
    <row r="106" spans="1:16" x14ac:dyDescent="0.25">
      <c r="A106" t="s">
        <v>32</v>
      </c>
      <c r="B106" s="1" t="s">
        <v>11</v>
      </c>
      <c r="C106">
        <v>2013</v>
      </c>
      <c r="D106">
        <v>271362405890.58899</v>
      </c>
      <c r="E106">
        <v>57746572345.098206</v>
      </c>
      <c r="F106">
        <v>2686349</v>
      </c>
      <c r="G106">
        <f t="shared" si="7"/>
        <v>26.326721055557922</v>
      </c>
      <c r="H106">
        <f t="shared" si="7"/>
        <v>24.779329831255204</v>
      </c>
      <c r="I106">
        <f t="shared" si="7"/>
        <v>14.803693580610613</v>
      </c>
      <c r="J106">
        <f t="shared" si="5"/>
        <v>9.975636250644591</v>
      </c>
      <c r="K106">
        <v>3.2713699340820299</v>
      </c>
      <c r="L106">
        <v>141</v>
      </c>
      <c r="M106">
        <f t="shared" si="6"/>
        <v>4.9487598903781684</v>
      </c>
      <c r="N106" s="2">
        <v>0.92600000000000005</v>
      </c>
      <c r="O106">
        <v>1.8416721820831301</v>
      </c>
      <c r="P106">
        <v>2.2001712322235099</v>
      </c>
    </row>
    <row r="107" spans="1:16" x14ac:dyDescent="0.25">
      <c r="A107" t="s">
        <v>32</v>
      </c>
      <c r="B107" s="1" t="s">
        <v>11</v>
      </c>
      <c r="C107">
        <v>2014</v>
      </c>
      <c r="D107">
        <v>274862826772.15588</v>
      </c>
      <c r="E107">
        <v>57642320530.588036</v>
      </c>
      <c r="F107">
        <v>2690277</v>
      </c>
      <c r="G107">
        <f t="shared" si="7"/>
        <v>26.339537998427407</v>
      </c>
      <c r="H107">
        <f t="shared" si="7"/>
        <v>24.777522866299073</v>
      </c>
      <c r="I107">
        <f t="shared" si="7"/>
        <v>14.805154720254261</v>
      </c>
      <c r="J107">
        <f t="shared" si="5"/>
        <v>9.9723681460448113</v>
      </c>
      <c r="K107">
        <v>3.14751005172729</v>
      </c>
      <c r="L107">
        <v>126</v>
      </c>
      <c r="M107">
        <f t="shared" si="6"/>
        <v>4.836281906951478</v>
      </c>
      <c r="N107" s="2">
        <v>0.92800000000000005</v>
      </c>
      <c r="O107">
        <v>1.87765765190125</v>
      </c>
      <c r="P107">
        <v>2.1594758033752401</v>
      </c>
    </row>
    <row r="108" spans="1:16" x14ac:dyDescent="0.25">
      <c r="A108" t="s">
        <v>32</v>
      </c>
      <c r="B108" s="1" t="s">
        <v>11</v>
      </c>
      <c r="C108">
        <v>2015</v>
      </c>
      <c r="D108">
        <v>234534382384.7655</v>
      </c>
      <c r="E108">
        <v>49590788159.374977</v>
      </c>
      <c r="F108">
        <v>2699822</v>
      </c>
      <c r="G108">
        <f t="shared" si="7"/>
        <v>26.180868034062765</v>
      </c>
      <c r="H108">
        <f t="shared" si="7"/>
        <v>24.627070930835469</v>
      </c>
      <c r="I108">
        <f t="shared" si="7"/>
        <v>14.808696402875421</v>
      </c>
      <c r="J108">
        <f t="shared" si="5"/>
        <v>9.8183745279600476</v>
      </c>
      <c r="K108">
        <v>2.87195992469788</v>
      </c>
      <c r="L108">
        <v>127</v>
      </c>
      <c r="M108">
        <f t="shared" si="6"/>
        <v>4.8441870864585912</v>
      </c>
      <c r="N108" s="2">
        <v>0.93</v>
      </c>
      <c r="O108">
        <v>1.8257349729537999</v>
      </c>
      <c r="P108">
        <v>2.2157714366912802</v>
      </c>
    </row>
    <row r="109" spans="1:16" x14ac:dyDescent="0.25">
      <c r="A109" t="s">
        <v>32</v>
      </c>
      <c r="B109" s="1" t="s">
        <v>11</v>
      </c>
      <c r="C109">
        <v>2016</v>
      </c>
      <c r="D109">
        <v>240771351298.83328</v>
      </c>
      <c r="E109">
        <v>52963100143.190788</v>
      </c>
      <c r="F109">
        <v>2694829</v>
      </c>
      <c r="G109">
        <f t="shared" si="7"/>
        <v>26.207113570291739</v>
      </c>
      <c r="H109">
        <f t="shared" si="7"/>
        <v>24.692861284308872</v>
      </c>
      <c r="I109">
        <f t="shared" si="7"/>
        <v>14.806845309477266</v>
      </c>
      <c r="J109">
        <f t="shared" si="5"/>
        <v>9.8860159748316061</v>
      </c>
      <c r="K109">
        <v>2.7244200706481898</v>
      </c>
      <c r="L109">
        <v>108</v>
      </c>
      <c r="M109">
        <f t="shared" si="6"/>
        <v>4.6821312271242199</v>
      </c>
      <c r="N109" s="2">
        <v>0.93100000000000005</v>
      </c>
      <c r="O109">
        <v>1.80655252933502</v>
      </c>
      <c r="P109">
        <v>2.1860520839691202</v>
      </c>
    </row>
    <row r="110" spans="1:16" x14ac:dyDescent="0.25">
      <c r="A110" t="s">
        <v>32</v>
      </c>
      <c r="B110" s="1" t="s">
        <v>11</v>
      </c>
      <c r="C110">
        <v>2017</v>
      </c>
      <c r="D110">
        <v>255647979916.47104</v>
      </c>
      <c r="E110">
        <v>61490805797.647163</v>
      </c>
      <c r="F110">
        <v>2716261</v>
      </c>
      <c r="G110">
        <f t="shared" si="7"/>
        <v>26.267067256686737</v>
      </c>
      <c r="H110">
        <f t="shared" si="7"/>
        <v>24.842153501357512</v>
      </c>
      <c r="I110">
        <f t="shared" si="7"/>
        <v>14.814766860245451</v>
      </c>
      <c r="J110">
        <f t="shared" si="5"/>
        <v>10.027386641112061</v>
      </c>
      <c r="K110">
        <v>2.7278699874877899</v>
      </c>
      <c r="L110">
        <v>139</v>
      </c>
      <c r="M110">
        <f t="shared" si="6"/>
        <v>4.9344739331306915</v>
      </c>
      <c r="N110" s="2">
        <v>0.93400000000000005</v>
      </c>
      <c r="O110">
        <v>1.81183922290802</v>
      </c>
      <c r="P110">
        <v>2.16156053543091</v>
      </c>
    </row>
    <row r="111" spans="1:16" x14ac:dyDescent="0.25">
      <c r="A111" t="s">
        <v>32</v>
      </c>
      <c r="B111" s="1" t="s">
        <v>11</v>
      </c>
      <c r="C111">
        <v>2018</v>
      </c>
      <c r="D111">
        <v>275708001767.84296</v>
      </c>
      <c r="E111">
        <v>66204309819.607796</v>
      </c>
      <c r="F111">
        <v>2749812</v>
      </c>
      <c r="G111">
        <f t="shared" si="7"/>
        <v>26.342608178014704</v>
      </c>
      <c r="H111">
        <f t="shared" si="7"/>
        <v>24.916011400785489</v>
      </c>
      <c r="I111">
        <f t="shared" si="7"/>
        <v>14.827043103669491</v>
      </c>
      <c r="J111">
        <f t="shared" si="5"/>
        <v>10.088968297115999</v>
      </c>
      <c r="K111">
        <v>2.75748991966248</v>
      </c>
      <c r="L111">
        <v>100</v>
      </c>
      <c r="M111">
        <f t="shared" si="6"/>
        <v>4.6051701859880918</v>
      </c>
      <c r="N111" s="2">
        <v>0.93600000000000005</v>
      </c>
      <c r="O111">
        <v>1.7791101932525599</v>
      </c>
      <c r="P111">
        <v>2.1713211536407502</v>
      </c>
    </row>
    <row r="112" spans="1:16" x14ac:dyDescent="0.25">
      <c r="A112" t="s">
        <v>32</v>
      </c>
      <c r="B112" s="1" t="s">
        <v>11</v>
      </c>
      <c r="C112">
        <v>2019</v>
      </c>
      <c r="D112">
        <v>268514916972.54858</v>
      </c>
      <c r="E112">
        <v>65106398541.176369</v>
      </c>
      <c r="F112">
        <v>2758855</v>
      </c>
      <c r="G112">
        <f t="shared" si="7"/>
        <v>26.316172306046894</v>
      </c>
      <c r="H112">
        <f t="shared" si="7"/>
        <v>24.899288669213892</v>
      </c>
      <c r="I112">
        <f t="shared" si="7"/>
        <v>14.830326296544696</v>
      </c>
      <c r="J112">
        <f t="shared" si="5"/>
        <v>10.068962372669196</v>
      </c>
      <c r="K112">
        <v>2.79960989952087</v>
      </c>
      <c r="L112">
        <v>75</v>
      </c>
      <c r="M112">
        <f t="shared" si="6"/>
        <v>4.3174881135363101</v>
      </c>
      <c r="N112" s="2">
        <v>0.93899999999999995</v>
      </c>
      <c r="O112">
        <v>1.8404722213745099</v>
      </c>
      <c r="P112">
        <v>2.1140050888061501</v>
      </c>
    </row>
    <row r="113" spans="1:16" x14ac:dyDescent="0.25">
      <c r="A113" t="s">
        <v>32</v>
      </c>
      <c r="B113" s="1" t="s">
        <v>11</v>
      </c>
      <c r="C113">
        <v>2020</v>
      </c>
      <c r="D113">
        <v>271886077382.10193</v>
      </c>
      <c r="E113">
        <v>66883577551.75116</v>
      </c>
      <c r="F113">
        <v>2751071</v>
      </c>
      <c r="G113">
        <f t="shared" si="7"/>
        <v>26.328648982353268</v>
      </c>
      <c r="H113">
        <f t="shared" si="7"/>
        <v>24.92621929639375</v>
      </c>
      <c r="I113">
        <f t="shared" si="7"/>
        <v>14.827500848370471</v>
      </c>
      <c r="J113">
        <f t="shared" si="5"/>
        <v>10.098718448023279</v>
      </c>
      <c r="K113">
        <v>2.9124300479888898</v>
      </c>
      <c r="L113">
        <v>97</v>
      </c>
      <c r="M113">
        <f t="shared" si="6"/>
        <v>4.5747109785033828</v>
      </c>
      <c r="N113" s="2">
        <v>0.93899999999999995</v>
      </c>
      <c r="O113">
        <v>1.8508982658386199</v>
      </c>
      <c r="P113">
        <v>2.1706306934356698</v>
      </c>
    </row>
    <row r="114" spans="1:16" x14ac:dyDescent="0.25">
      <c r="A114" t="s">
        <v>54</v>
      </c>
      <c r="B114" s="1" t="s">
        <v>37</v>
      </c>
      <c r="C114">
        <v>2005</v>
      </c>
      <c r="D114">
        <v>2196945232435.7966</v>
      </c>
      <c r="E114">
        <v>495149172494.94141</v>
      </c>
      <c r="F114">
        <v>28867248</v>
      </c>
      <c r="G114">
        <f t="shared" si="7"/>
        <v>28.418088980679748</v>
      </c>
      <c r="H114">
        <f t="shared" si="7"/>
        <v>26.928124912691366</v>
      </c>
      <c r="I114">
        <f t="shared" si="7"/>
        <v>17.178218223229905</v>
      </c>
      <c r="J114">
        <f t="shared" si="5"/>
        <v>9.7499066894614614</v>
      </c>
      <c r="K114">
        <v>2.0515100955963099</v>
      </c>
      <c r="L114">
        <v>2948</v>
      </c>
      <c r="M114">
        <f t="shared" si="6"/>
        <v>7.9888822533092272</v>
      </c>
      <c r="N114" s="2">
        <v>0.86899999999999999</v>
      </c>
      <c r="O114">
        <v>1.24496161937714</v>
      </c>
      <c r="P114">
        <v>1.3575382232666</v>
      </c>
    </row>
    <row r="115" spans="1:16" x14ac:dyDescent="0.25">
      <c r="A115" t="s">
        <v>54</v>
      </c>
      <c r="B115" s="1" t="s">
        <v>37</v>
      </c>
      <c r="C115">
        <v>2006</v>
      </c>
      <c r="D115">
        <v>2320536221304.7026</v>
      </c>
      <c r="E115">
        <v>533826629015.2934</v>
      </c>
      <c r="F115">
        <v>29052914</v>
      </c>
      <c r="G115">
        <f t="shared" si="7"/>
        <v>28.472819404773091</v>
      </c>
      <c r="H115">
        <f t="shared" si="7"/>
        <v>27.003336958426221</v>
      </c>
      <c r="I115">
        <f t="shared" si="7"/>
        <v>17.184629346042172</v>
      </c>
      <c r="J115">
        <f t="shared" si="5"/>
        <v>9.8187076123840491</v>
      </c>
      <c r="K115">
        <v>2.0509400367736799</v>
      </c>
      <c r="L115">
        <v>2720</v>
      </c>
      <c r="M115">
        <f t="shared" si="6"/>
        <v>7.9083871592900428</v>
      </c>
      <c r="N115" s="2">
        <v>0.873</v>
      </c>
      <c r="O115">
        <v>1.2398216724395801</v>
      </c>
      <c r="P115">
        <v>1.45506083965302</v>
      </c>
    </row>
    <row r="116" spans="1:16" x14ac:dyDescent="0.25">
      <c r="A116" t="s">
        <v>54</v>
      </c>
      <c r="B116" s="1" t="s">
        <v>37</v>
      </c>
      <c r="C116">
        <v>2007</v>
      </c>
      <c r="D116">
        <v>2660591246211.7734</v>
      </c>
      <c r="E116">
        <v>623923832133.33533</v>
      </c>
      <c r="F116">
        <v>29300012</v>
      </c>
      <c r="G116">
        <f t="shared" si="7"/>
        <v>28.609569487035113</v>
      </c>
      <c r="H116">
        <f t="shared" si="7"/>
        <v>27.159294133976552</v>
      </c>
      <c r="I116">
        <f t="shared" si="7"/>
        <v>17.193098483543526</v>
      </c>
      <c r="J116">
        <f t="shared" si="5"/>
        <v>9.9661956504330256</v>
      </c>
      <c r="K116">
        <v>2.0245099067688002</v>
      </c>
      <c r="L116">
        <v>2387</v>
      </c>
      <c r="M116">
        <f t="shared" si="6"/>
        <v>7.7777926263388304</v>
      </c>
      <c r="N116" s="2">
        <v>0.876</v>
      </c>
      <c r="O116">
        <v>1.2875664234161399</v>
      </c>
      <c r="P116">
        <v>1.4560017585754399</v>
      </c>
    </row>
    <row r="117" spans="1:16" x14ac:dyDescent="0.25">
      <c r="A117" t="s">
        <v>54</v>
      </c>
      <c r="B117" s="1" t="s">
        <v>37</v>
      </c>
      <c r="C117">
        <v>2008</v>
      </c>
      <c r="D117">
        <v>2930303780828.1245</v>
      </c>
      <c r="E117">
        <v>673135362937.49988</v>
      </c>
      <c r="F117">
        <v>29512889</v>
      </c>
      <c r="G117">
        <f t="shared" si="7"/>
        <v>28.706127213046702</v>
      </c>
      <c r="H117">
        <f t="shared" si="7"/>
        <v>27.235212280003182</v>
      </c>
      <c r="I117">
        <f t="shared" si="7"/>
        <v>17.200337641144607</v>
      </c>
      <c r="J117">
        <f t="shared" si="5"/>
        <v>10.034874638858575</v>
      </c>
      <c r="K117">
        <v>2.0611701011657702</v>
      </c>
      <c r="L117">
        <v>1761</v>
      </c>
      <c r="M117">
        <f t="shared" si="6"/>
        <v>7.4736371084962059</v>
      </c>
      <c r="N117" s="2">
        <v>0.877</v>
      </c>
      <c r="O117">
        <v>1.28425264358521</v>
      </c>
      <c r="P117">
        <v>1.3950347900390601</v>
      </c>
    </row>
    <row r="118" spans="1:16" x14ac:dyDescent="0.25">
      <c r="A118" t="s">
        <v>54</v>
      </c>
      <c r="B118" s="1" t="s">
        <v>37</v>
      </c>
      <c r="C118">
        <v>2009</v>
      </c>
      <c r="D118">
        <v>2700887366932.0293</v>
      </c>
      <c r="E118">
        <v>554809577861.32776</v>
      </c>
      <c r="F118">
        <v>29790243</v>
      </c>
      <c r="G118">
        <f t="shared" si="7"/>
        <v>28.624601489363069</v>
      </c>
      <c r="H118">
        <f t="shared" si="7"/>
        <v>27.041890788866997</v>
      </c>
      <c r="I118">
        <f t="shared" si="7"/>
        <v>17.209691481755893</v>
      </c>
      <c r="J118">
        <f t="shared" si="5"/>
        <v>9.8321993071111038</v>
      </c>
      <c r="K118">
        <v>2.2120699882507302</v>
      </c>
      <c r="L118">
        <v>1593</v>
      </c>
      <c r="M118">
        <f t="shared" si="6"/>
        <v>7.3733743099100488</v>
      </c>
      <c r="N118" s="2">
        <v>0.875</v>
      </c>
      <c r="O118">
        <v>1.2147028446197501</v>
      </c>
      <c r="P118">
        <v>1.4299693107605</v>
      </c>
    </row>
    <row r="119" spans="1:16" x14ac:dyDescent="0.25">
      <c r="A119" t="s">
        <v>54</v>
      </c>
      <c r="B119" s="1" t="s">
        <v>37</v>
      </c>
      <c r="C119">
        <v>2010</v>
      </c>
      <c r="D119">
        <v>2645187882116.6719</v>
      </c>
      <c r="E119">
        <v>546364958400.00104</v>
      </c>
      <c r="F119">
        <v>29884514</v>
      </c>
      <c r="G119">
        <f t="shared" si="7"/>
        <v>28.603763211652453</v>
      </c>
      <c r="H119">
        <f t="shared" si="7"/>
        <v>27.026553011374869</v>
      </c>
      <c r="I119">
        <f t="shared" si="7"/>
        <v>17.212850977769293</v>
      </c>
      <c r="J119">
        <f t="shared" si="5"/>
        <v>9.8137020336055762</v>
      </c>
      <c r="K119">
        <v>2.1785700321197501</v>
      </c>
      <c r="L119">
        <v>1832</v>
      </c>
      <c r="M119">
        <f t="shared" si="6"/>
        <v>7.5131635452340753</v>
      </c>
      <c r="N119" s="2">
        <v>0.88</v>
      </c>
      <c r="O119">
        <v>1.3101607561111499</v>
      </c>
      <c r="P119">
        <v>1.4877561330795299</v>
      </c>
    </row>
    <row r="120" spans="1:16" x14ac:dyDescent="0.25">
      <c r="A120" t="s">
        <v>54</v>
      </c>
      <c r="B120" s="1" t="s">
        <v>37</v>
      </c>
      <c r="C120">
        <v>2011</v>
      </c>
      <c r="D120">
        <v>2865157541994.1689</v>
      </c>
      <c r="E120">
        <v>609503798326.84949</v>
      </c>
      <c r="F120">
        <v>29908458</v>
      </c>
      <c r="G120">
        <f t="shared" si="7"/>
        <v>28.683644453063081</v>
      </c>
      <c r="H120">
        <f t="shared" si="7"/>
        <v>27.135911017721739</v>
      </c>
      <c r="I120">
        <f t="shared" si="7"/>
        <v>17.213651874613152</v>
      </c>
      <c r="J120">
        <f t="shared" si="5"/>
        <v>9.9222591431085867</v>
      </c>
      <c r="K120">
        <v>2.1916100978851301</v>
      </c>
      <c r="L120">
        <v>2099</v>
      </c>
      <c r="M120">
        <f t="shared" si="6"/>
        <v>7.6492163198206331</v>
      </c>
      <c r="N120" s="2">
        <v>0.88400000000000001</v>
      </c>
      <c r="O120">
        <v>1.1560425758361801</v>
      </c>
      <c r="P120">
        <v>1.5377732515335101</v>
      </c>
    </row>
    <row r="121" spans="1:16" x14ac:dyDescent="0.25">
      <c r="A121" t="s">
        <v>54</v>
      </c>
      <c r="B121" s="1" t="s">
        <v>37</v>
      </c>
      <c r="C121">
        <v>2012</v>
      </c>
      <c r="D121">
        <v>2683671716967.188</v>
      </c>
      <c r="E121">
        <v>572444016697.26575</v>
      </c>
      <c r="F121">
        <v>30175391</v>
      </c>
      <c r="G121">
        <f t="shared" si="7"/>
        <v>28.618207016442312</v>
      </c>
      <c r="H121">
        <f t="shared" si="7"/>
        <v>27.073180780164947</v>
      </c>
      <c r="I121">
        <f t="shared" si="7"/>
        <v>17.222537282610396</v>
      </c>
      <c r="J121">
        <f t="shared" si="5"/>
        <v>9.8506434975545503</v>
      </c>
      <c r="K121">
        <v>2.2270700931549099</v>
      </c>
      <c r="L121">
        <v>2092</v>
      </c>
      <c r="M121">
        <f t="shared" si="6"/>
        <v>7.6458758251848131</v>
      </c>
      <c r="N121" s="2">
        <v>0.88500000000000001</v>
      </c>
      <c r="O121">
        <v>1.12417411804199</v>
      </c>
      <c r="P121">
        <v>1.4719694852828999</v>
      </c>
    </row>
    <row r="122" spans="1:16" x14ac:dyDescent="0.25">
      <c r="A122" t="s">
        <v>54</v>
      </c>
      <c r="B122" s="1" t="s">
        <v>37</v>
      </c>
      <c r="C122">
        <v>2013</v>
      </c>
      <c r="D122">
        <v>2811876903329.0273</v>
      </c>
      <c r="E122">
        <v>597597336689.41345</v>
      </c>
      <c r="F122">
        <v>30427131</v>
      </c>
      <c r="G122">
        <f t="shared" si="7"/>
        <v>28.664873313431247</v>
      </c>
      <c r="H122">
        <f t="shared" si="7"/>
        <v>27.1161830140774</v>
      </c>
      <c r="I122">
        <f t="shared" si="7"/>
        <v>17.230845235469737</v>
      </c>
      <c r="J122">
        <f t="shared" si="5"/>
        <v>9.8853377786076635</v>
      </c>
      <c r="K122">
        <v>2.2370300292968799</v>
      </c>
      <c r="L122">
        <v>2196</v>
      </c>
      <c r="M122">
        <f t="shared" si="6"/>
        <v>7.6943928026294213</v>
      </c>
      <c r="N122" s="2">
        <v>0.88800000000000001</v>
      </c>
      <c r="O122">
        <v>1.1498948335647601</v>
      </c>
      <c r="P122">
        <v>1.30437731742859</v>
      </c>
    </row>
    <row r="123" spans="1:16" x14ac:dyDescent="0.25">
      <c r="A123" t="s">
        <v>54</v>
      </c>
      <c r="B123" s="1" t="s">
        <v>37</v>
      </c>
      <c r="C123">
        <v>2014</v>
      </c>
      <c r="D123">
        <v>2855964488590.186</v>
      </c>
      <c r="E123">
        <v>615871707595.29199</v>
      </c>
      <c r="F123">
        <v>30406445</v>
      </c>
      <c r="G123">
        <f t="shared" si="7"/>
        <v>28.680430726361561</v>
      </c>
      <c r="H123">
        <f t="shared" si="7"/>
        <v>27.146304511898609</v>
      </c>
      <c r="I123">
        <f t="shared" si="7"/>
        <v>17.230165150485178</v>
      </c>
      <c r="J123">
        <f t="shared" si="5"/>
        <v>9.9161393614134319</v>
      </c>
      <c r="K123">
        <v>2.2759199142456099</v>
      </c>
      <c r="L123">
        <v>2033</v>
      </c>
      <c r="M123">
        <f t="shared" si="6"/>
        <v>7.6172678136283469</v>
      </c>
      <c r="N123" s="2">
        <v>0.89200000000000002</v>
      </c>
      <c r="O123">
        <v>1.07406842708588</v>
      </c>
      <c r="P123">
        <v>1.28824603557587</v>
      </c>
    </row>
    <row r="124" spans="1:16" x14ac:dyDescent="0.25">
      <c r="A124" t="s">
        <v>54</v>
      </c>
      <c r="B124" s="1" t="s">
        <v>37</v>
      </c>
      <c r="C124">
        <v>2015</v>
      </c>
      <c r="D124">
        <v>2439188643162.4985</v>
      </c>
      <c r="E124">
        <v>540179664955.46844</v>
      </c>
      <c r="F124">
        <v>30521969</v>
      </c>
      <c r="G124">
        <f t="shared" si="7"/>
        <v>28.522686576641473</v>
      </c>
      <c r="H124">
        <f t="shared" si="7"/>
        <v>27.01516763404857</v>
      </c>
      <c r="I124">
        <f t="shared" si="7"/>
        <v>17.233957277371605</v>
      </c>
      <c r="J124">
        <f t="shared" si="5"/>
        <v>9.781210356676965</v>
      </c>
      <c r="K124">
        <v>2.2270200252532999</v>
      </c>
      <c r="L124">
        <v>1994</v>
      </c>
      <c r="M124">
        <f t="shared" si="6"/>
        <v>7.5978979505217836</v>
      </c>
      <c r="N124" s="2">
        <v>0.89300000000000002</v>
      </c>
      <c r="O124">
        <v>1.1158076524734499</v>
      </c>
      <c r="P124">
        <v>1.24826383590698</v>
      </c>
    </row>
    <row r="125" spans="1:16" x14ac:dyDescent="0.25">
      <c r="A125" t="s">
        <v>54</v>
      </c>
      <c r="B125" s="1" t="s">
        <v>37</v>
      </c>
      <c r="C125">
        <v>2016</v>
      </c>
      <c r="D125">
        <v>2472964344587.1655</v>
      </c>
      <c r="E125">
        <v>544159104787.93909</v>
      </c>
      <c r="F125">
        <v>30573605</v>
      </c>
      <c r="G125">
        <f t="shared" si="7"/>
        <v>28.536438686485671</v>
      </c>
      <c r="H125">
        <f t="shared" si="7"/>
        <v>27.022507513077397</v>
      </c>
      <c r="I125">
        <f t="shared" si="7"/>
        <v>17.235647612985595</v>
      </c>
      <c r="J125">
        <f t="shared" si="5"/>
        <v>9.7868599000918017</v>
      </c>
      <c r="K125">
        <v>2.22237992286682</v>
      </c>
      <c r="L125">
        <v>2012</v>
      </c>
      <c r="M125">
        <f t="shared" si="6"/>
        <v>7.60688453121963</v>
      </c>
      <c r="N125" s="2">
        <v>0.89600000000000002</v>
      </c>
      <c r="O125">
        <v>1.0586184263229399</v>
      </c>
      <c r="P125">
        <v>1.32866752147675</v>
      </c>
    </row>
    <row r="126" spans="1:16" x14ac:dyDescent="0.25">
      <c r="A126" t="s">
        <v>54</v>
      </c>
      <c r="B126" s="1" t="s">
        <v>37</v>
      </c>
      <c r="C126">
        <v>2017</v>
      </c>
      <c r="D126">
        <v>2595151045197.6514</v>
      </c>
      <c r="E126">
        <v>580577047023.5304</v>
      </c>
      <c r="F126">
        <v>30547530</v>
      </c>
      <c r="G126">
        <f t="shared" si="7"/>
        <v>28.584665837094352</v>
      </c>
      <c r="H126">
        <f t="shared" si="7"/>
        <v>27.087288354554538</v>
      </c>
      <c r="I126">
        <f t="shared" si="7"/>
        <v>17.234794389249426</v>
      </c>
      <c r="J126">
        <f t="shared" si="5"/>
        <v>9.8524939653051113</v>
      </c>
      <c r="K126">
        <v>2.1988799571990998</v>
      </c>
      <c r="L126">
        <v>1832</v>
      </c>
      <c r="M126">
        <f t="shared" si="6"/>
        <v>7.5131635452340753</v>
      </c>
      <c r="N126" s="2">
        <v>0.89900000000000002</v>
      </c>
      <c r="O126">
        <v>1.1462367773055999</v>
      </c>
      <c r="P126">
        <v>1.22440361976624</v>
      </c>
    </row>
    <row r="127" spans="1:16" x14ac:dyDescent="0.25">
      <c r="A127" t="s">
        <v>54</v>
      </c>
      <c r="B127" s="1" t="s">
        <v>37</v>
      </c>
      <c r="C127">
        <v>2018</v>
      </c>
      <c r="D127">
        <v>2790956878746.6646</v>
      </c>
      <c r="E127">
        <v>637639854205.48975</v>
      </c>
      <c r="F127">
        <v>30691326</v>
      </c>
      <c r="G127">
        <f t="shared" si="7"/>
        <v>28.657405620254696</v>
      </c>
      <c r="H127">
        <f t="shared" si="7"/>
        <v>27.181039469064771</v>
      </c>
      <c r="I127">
        <f t="shared" si="7"/>
        <v>17.239490631918667</v>
      </c>
      <c r="J127">
        <f t="shared" si="5"/>
        <v>9.9415488371461045</v>
      </c>
      <c r="K127">
        <v>2.1966600418090798</v>
      </c>
      <c r="L127">
        <v>1919</v>
      </c>
      <c r="M127">
        <f t="shared" si="6"/>
        <v>7.5595594960076999</v>
      </c>
      <c r="N127" s="2">
        <v>0.90300000000000002</v>
      </c>
      <c r="O127">
        <v>1.1474986076355</v>
      </c>
      <c r="P127">
        <v>1.2816406488418599</v>
      </c>
    </row>
    <row r="128" spans="1:16" x14ac:dyDescent="0.25">
      <c r="A128" t="s">
        <v>54</v>
      </c>
      <c r="B128" s="1" t="s">
        <v>37</v>
      </c>
      <c r="C128">
        <v>2019</v>
      </c>
      <c r="D128">
        <v>2728870246705.8779</v>
      </c>
      <c r="E128">
        <v>638754243701.95972</v>
      </c>
      <c r="F128">
        <v>30652293</v>
      </c>
      <c r="G128">
        <f t="shared" si="7"/>
        <v>28.634908810429081</v>
      </c>
      <c r="H128">
        <f t="shared" si="7"/>
        <v>27.182785622202662</v>
      </c>
      <c r="I128">
        <f t="shared" si="7"/>
        <v>17.238218029946228</v>
      </c>
      <c r="J128">
        <f t="shared" si="5"/>
        <v>9.9445675922564334</v>
      </c>
      <c r="K128">
        <v>2.19179010391235</v>
      </c>
      <c r="L128">
        <v>1766</v>
      </c>
      <c r="M128">
        <f t="shared" si="6"/>
        <v>7.4764723811639051</v>
      </c>
      <c r="N128" s="2">
        <v>0.90500000000000003</v>
      </c>
      <c r="O128">
        <v>1.4315377473831199</v>
      </c>
      <c r="P128">
        <v>1.2483280897140501</v>
      </c>
    </row>
    <row r="129" spans="1:16" x14ac:dyDescent="0.25">
      <c r="A129" t="s">
        <v>54</v>
      </c>
      <c r="B129" s="1" t="s">
        <v>37</v>
      </c>
      <c r="C129">
        <v>2020</v>
      </c>
      <c r="D129">
        <v>2647418691598.4507</v>
      </c>
      <c r="E129">
        <v>581344695768.09497</v>
      </c>
      <c r="F129">
        <v>30379167</v>
      </c>
      <c r="G129">
        <f t="shared" si="7"/>
        <v>28.60460620256168</v>
      </c>
      <c r="H129">
        <f t="shared" si="7"/>
        <v>27.088609698028858</v>
      </c>
      <c r="I129">
        <f t="shared" si="7"/>
        <v>17.229267635401143</v>
      </c>
      <c r="J129">
        <f t="shared" si="5"/>
        <v>9.8593420626277144</v>
      </c>
      <c r="K129">
        <v>2.2818899154663099</v>
      </c>
      <c r="L129">
        <v>1542</v>
      </c>
      <c r="M129">
        <f t="shared" si="6"/>
        <v>7.3408355541232746</v>
      </c>
      <c r="N129" s="2">
        <v>0.9</v>
      </c>
      <c r="O129">
        <v>1.1894619464874301</v>
      </c>
      <c r="P129">
        <v>1.1223492622375499</v>
      </c>
    </row>
    <row r="130" spans="1:16" x14ac:dyDescent="0.25">
      <c r="A130" t="s">
        <v>109</v>
      </c>
      <c r="B130" s="1" t="s">
        <v>71</v>
      </c>
      <c r="C130">
        <v>2005</v>
      </c>
      <c r="D130">
        <v>2846864211175.0962</v>
      </c>
      <c r="E130">
        <v>702764201238.91016</v>
      </c>
      <c r="F130">
        <v>41239999</v>
      </c>
      <c r="G130">
        <f t="shared" si="7"/>
        <v>28.677239227679575</v>
      </c>
      <c r="H130">
        <f t="shared" si="7"/>
        <v>27.278287254624082</v>
      </c>
      <c r="I130">
        <f t="shared" si="7"/>
        <v>17.534919192864731</v>
      </c>
      <c r="J130">
        <f t="shared" si="5"/>
        <v>9.7433680617593517</v>
      </c>
      <c r="K130">
        <v>2.4419300556182901</v>
      </c>
      <c r="L130">
        <v>11855</v>
      </c>
      <c r="M130">
        <f t="shared" si="6"/>
        <v>9.3805049984995055</v>
      </c>
      <c r="N130" s="2">
        <v>0.91600000000000004</v>
      </c>
      <c r="O130">
        <v>1.5151065587997401</v>
      </c>
      <c r="P130">
        <v>1.8754422664642301</v>
      </c>
    </row>
    <row r="131" spans="1:16" x14ac:dyDescent="0.25">
      <c r="A131" t="s">
        <v>109</v>
      </c>
      <c r="B131" s="1" t="s">
        <v>71</v>
      </c>
      <c r="C131">
        <v>2006</v>
      </c>
      <c r="D131">
        <v>2994703642023.5254</v>
      </c>
      <c r="E131">
        <v>778227684416.46948</v>
      </c>
      <c r="F131">
        <v>41693116</v>
      </c>
      <c r="G131">
        <f t="shared" ref="G131:I161" si="8">LN(D131)</f>
        <v>28.727866391689656</v>
      </c>
      <c r="H131">
        <f t="shared" si="8"/>
        <v>27.380284971801728</v>
      </c>
      <c r="I131">
        <f t="shared" si="8"/>
        <v>17.545846589208324</v>
      </c>
      <c r="J131">
        <f t="shared" ref="J131:J194" si="9">H131-I131</f>
        <v>9.8344383825934045</v>
      </c>
      <c r="K131">
        <v>2.4723200798034699</v>
      </c>
      <c r="L131">
        <v>12573</v>
      </c>
      <c r="M131">
        <f t="shared" ref="M131:M194" si="10">LN(L131)</f>
        <v>9.4393069365931819</v>
      </c>
      <c r="N131" s="2">
        <v>0.92</v>
      </c>
      <c r="O131">
        <v>1.56890881061554</v>
      </c>
      <c r="P131">
        <v>1.7936425209045399</v>
      </c>
    </row>
    <row r="132" spans="1:16" x14ac:dyDescent="0.25">
      <c r="A132" t="s">
        <v>109</v>
      </c>
      <c r="B132" s="1" t="s">
        <v>71</v>
      </c>
      <c r="C132">
        <v>2007</v>
      </c>
      <c r="D132">
        <v>3425578382921.5796</v>
      </c>
      <c r="E132">
        <v>964335501816.08154</v>
      </c>
      <c r="F132">
        <v>41861246</v>
      </c>
      <c r="G132">
        <f t="shared" si="8"/>
        <v>28.862291444311655</v>
      </c>
      <c r="H132">
        <f t="shared" si="8"/>
        <v>27.594705101937787</v>
      </c>
      <c r="I132">
        <f t="shared" si="8"/>
        <v>17.549871040425419</v>
      </c>
      <c r="J132">
        <f t="shared" si="9"/>
        <v>10.044834061512368</v>
      </c>
      <c r="K132">
        <v>2.4604799747467001</v>
      </c>
      <c r="L132">
        <v>13139</v>
      </c>
      <c r="M132">
        <f t="shared" si="10"/>
        <v>9.483340185641822</v>
      </c>
      <c r="N132" s="2">
        <v>0.92300000000000004</v>
      </c>
      <c r="O132">
        <v>1.61616551876068</v>
      </c>
      <c r="P132">
        <v>1.72651934623718</v>
      </c>
    </row>
    <row r="133" spans="1:16" x14ac:dyDescent="0.25">
      <c r="A133" t="s">
        <v>109</v>
      </c>
      <c r="B133" s="1" t="s">
        <v>71</v>
      </c>
      <c r="C133">
        <v>2008</v>
      </c>
      <c r="D133">
        <v>3745264093617.1865</v>
      </c>
      <c r="E133">
        <v>1030687783434.3748</v>
      </c>
      <c r="F133">
        <v>41917490</v>
      </c>
      <c r="G133">
        <f t="shared" si="8"/>
        <v>28.951513249401287</v>
      </c>
      <c r="H133">
        <f t="shared" si="8"/>
        <v>27.661247446230814</v>
      </c>
      <c r="I133">
        <f t="shared" si="8"/>
        <v>17.551213720230226</v>
      </c>
      <c r="J133">
        <f t="shared" si="9"/>
        <v>10.110033726000587</v>
      </c>
      <c r="K133">
        <v>2.61512994766235</v>
      </c>
      <c r="L133">
        <v>13177</v>
      </c>
      <c r="M133">
        <f t="shared" si="10"/>
        <v>9.4862281645452526</v>
      </c>
      <c r="N133" s="2">
        <v>0.92600000000000005</v>
      </c>
      <c r="O133">
        <v>1.4888845682144201</v>
      </c>
      <c r="P133">
        <v>1.7458958625793499</v>
      </c>
    </row>
    <row r="134" spans="1:16" x14ac:dyDescent="0.25">
      <c r="A134" t="s">
        <v>109</v>
      </c>
      <c r="B134" s="1" t="s">
        <v>71</v>
      </c>
      <c r="C134">
        <v>2009</v>
      </c>
      <c r="D134">
        <v>3411261212652.3413</v>
      </c>
      <c r="E134">
        <v>803951193186.32764</v>
      </c>
      <c r="F134">
        <v>41978630</v>
      </c>
      <c r="G134">
        <f t="shared" si="8"/>
        <v>28.8581031959265</v>
      </c>
      <c r="H134">
        <f t="shared" si="8"/>
        <v>27.412804399290625</v>
      </c>
      <c r="I134">
        <f t="shared" si="8"/>
        <v>17.552671237236343</v>
      </c>
      <c r="J134">
        <f t="shared" si="9"/>
        <v>9.8601331620542823</v>
      </c>
      <c r="K134">
        <v>2.7426600456237802</v>
      </c>
      <c r="L134">
        <v>11724</v>
      </c>
      <c r="M134">
        <f t="shared" si="10"/>
        <v>9.3693933018307831</v>
      </c>
      <c r="N134" s="2">
        <v>0.92500000000000004</v>
      </c>
      <c r="O134">
        <v>1.51645278930664</v>
      </c>
      <c r="P134">
        <v>1.74621033668518</v>
      </c>
    </row>
    <row r="135" spans="1:16" x14ac:dyDescent="0.25">
      <c r="A135" t="s">
        <v>109</v>
      </c>
      <c r="B135" s="1" t="s">
        <v>71</v>
      </c>
      <c r="C135">
        <v>2010</v>
      </c>
      <c r="D135">
        <v>3399667820000.0063</v>
      </c>
      <c r="E135">
        <v>861071535033.33496</v>
      </c>
      <c r="F135">
        <v>41949335</v>
      </c>
      <c r="G135">
        <f t="shared" si="8"/>
        <v>28.854698842777712</v>
      </c>
      <c r="H135">
        <f t="shared" si="8"/>
        <v>27.481443421585297</v>
      </c>
      <c r="I135">
        <f t="shared" si="8"/>
        <v>17.551973138546835</v>
      </c>
      <c r="J135">
        <f t="shared" si="9"/>
        <v>9.9294702830384622</v>
      </c>
      <c r="K135">
        <v>2.7302401065826398</v>
      </c>
      <c r="L135">
        <v>12198</v>
      </c>
      <c r="M135">
        <f t="shared" si="10"/>
        <v>9.4090272828564014</v>
      </c>
      <c r="N135" s="2">
        <v>0.92900000000000005</v>
      </c>
      <c r="O135">
        <v>1.5706861019134499</v>
      </c>
      <c r="P135">
        <v>1.76642882823944</v>
      </c>
    </row>
    <row r="136" spans="1:16" x14ac:dyDescent="0.25">
      <c r="A136" t="s">
        <v>109</v>
      </c>
      <c r="B136" s="1" t="s">
        <v>71</v>
      </c>
      <c r="C136">
        <v>2011</v>
      </c>
      <c r="D136">
        <v>3749314991050.5908</v>
      </c>
      <c r="E136">
        <v>995195111536.96692</v>
      </c>
      <c r="F136">
        <v>41729225</v>
      </c>
      <c r="G136">
        <f t="shared" si="8"/>
        <v>28.952594270171669</v>
      </c>
      <c r="H136">
        <f t="shared" si="8"/>
        <v>27.626204646878431</v>
      </c>
      <c r="I136">
        <f t="shared" si="8"/>
        <v>17.546712280624369</v>
      </c>
      <c r="J136">
        <f t="shared" si="9"/>
        <v>10.079492366254062</v>
      </c>
      <c r="K136">
        <v>2.8055500984191899</v>
      </c>
      <c r="L136">
        <v>12458</v>
      </c>
      <c r="M136">
        <f t="shared" si="10"/>
        <v>9.430118265814091</v>
      </c>
      <c r="N136" s="2">
        <v>0.93500000000000005</v>
      </c>
      <c r="O136">
        <v>1.54886770248413</v>
      </c>
      <c r="P136">
        <v>1.74194991588593</v>
      </c>
    </row>
    <row r="137" spans="1:16" x14ac:dyDescent="0.25">
      <c r="A137" t="s">
        <v>109</v>
      </c>
      <c r="B137" s="1" t="s">
        <v>71</v>
      </c>
      <c r="C137">
        <v>2012</v>
      </c>
      <c r="D137">
        <v>3527143188785.1572</v>
      </c>
      <c r="E137">
        <v>910573414572.65649</v>
      </c>
      <c r="F137">
        <v>41853628</v>
      </c>
      <c r="G137">
        <f t="shared" si="8"/>
        <v>28.891509364256081</v>
      </c>
      <c r="H137">
        <f t="shared" si="8"/>
        <v>27.537340363915359</v>
      </c>
      <c r="I137">
        <f t="shared" si="8"/>
        <v>17.549689041703878</v>
      </c>
      <c r="J137">
        <f t="shared" si="9"/>
        <v>9.9876513222114802</v>
      </c>
      <c r="K137">
        <v>2.8816599845886199</v>
      </c>
      <c r="L137">
        <v>14720</v>
      </c>
      <c r="M137">
        <f t="shared" si="10"/>
        <v>9.5969623922828671</v>
      </c>
      <c r="N137" s="2">
        <v>0.93700000000000006</v>
      </c>
      <c r="O137">
        <v>1.5290828943252599</v>
      </c>
      <c r="P137">
        <v>1.8176301717758201</v>
      </c>
    </row>
    <row r="138" spans="1:16" x14ac:dyDescent="0.25">
      <c r="A138" t="s">
        <v>109</v>
      </c>
      <c r="B138" s="1" t="s">
        <v>71</v>
      </c>
      <c r="C138">
        <v>2013</v>
      </c>
      <c r="D138">
        <v>3733804649549.0303</v>
      </c>
      <c r="E138">
        <v>963778073753.72815</v>
      </c>
      <c r="F138">
        <v>42212988</v>
      </c>
      <c r="G138">
        <f t="shared" si="8"/>
        <v>28.948448843008123</v>
      </c>
      <c r="H138">
        <f t="shared" si="8"/>
        <v>27.594126891105244</v>
      </c>
      <c r="I138">
        <f t="shared" si="8"/>
        <v>17.558238504165846</v>
      </c>
      <c r="J138">
        <f t="shared" si="9"/>
        <v>10.035888386939398</v>
      </c>
      <c r="K138">
        <v>2.8359899520874001</v>
      </c>
      <c r="L138">
        <v>15814</v>
      </c>
      <c r="M138">
        <f t="shared" si="10"/>
        <v>9.6686509026308727</v>
      </c>
      <c r="N138" s="2">
        <v>0.93799999999999994</v>
      </c>
      <c r="O138">
        <v>1.54434037208557</v>
      </c>
      <c r="P138">
        <v>1.7979435920715301</v>
      </c>
    </row>
    <row r="139" spans="1:16" x14ac:dyDescent="0.25">
      <c r="A139" t="s">
        <v>109</v>
      </c>
      <c r="B139" s="1" t="s">
        <v>71</v>
      </c>
      <c r="C139">
        <v>2014</v>
      </c>
      <c r="D139">
        <v>3889093051023.5156</v>
      </c>
      <c r="E139">
        <v>1049616585667.4473</v>
      </c>
      <c r="F139">
        <v>42458390</v>
      </c>
      <c r="G139">
        <f t="shared" si="8"/>
        <v>28.989197097538344</v>
      </c>
      <c r="H139">
        <f t="shared" si="8"/>
        <v>27.679446056904915</v>
      </c>
      <c r="I139">
        <f t="shared" si="8"/>
        <v>17.564035095479969</v>
      </c>
      <c r="J139">
        <f t="shared" si="9"/>
        <v>10.115410961424946</v>
      </c>
      <c r="K139">
        <v>2.87784004211426</v>
      </c>
      <c r="L139">
        <v>17811</v>
      </c>
      <c r="M139">
        <f t="shared" si="10"/>
        <v>9.7875715229387854</v>
      </c>
      <c r="N139" s="2">
        <v>0.94199999999999995</v>
      </c>
      <c r="O139">
        <v>1.69703912734985</v>
      </c>
      <c r="P139">
        <v>1.8124965429305999</v>
      </c>
    </row>
    <row r="140" spans="1:16" x14ac:dyDescent="0.25">
      <c r="A140" t="s">
        <v>109</v>
      </c>
      <c r="B140" s="1" t="s">
        <v>71</v>
      </c>
      <c r="C140">
        <v>2015</v>
      </c>
      <c r="D140">
        <v>3357585719351.5605</v>
      </c>
      <c r="E140">
        <v>917903342952.73389</v>
      </c>
      <c r="F140">
        <v>42660629</v>
      </c>
      <c r="G140">
        <f t="shared" si="8"/>
        <v>28.842243295725737</v>
      </c>
      <c r="H140">
        <f t="shared" si="8"/>
        <v>27.545357931122265</v>
      </c>
      <c r="I140">
        <f t="shared" si="8"/>
        <v>17.568787015390107</v>
      </c>
      <c r="J140">
        <f t="shared" si="9"/>
        <v>9.9765709157321574</v>
      </c>
      <c r="K140">
        <v>2.9337899684906001</v>
      </c>
      <c r="L140">
        <v>19509</v>
      </c>
      <c r="M140">
        <f t="shared" si="10"/>
        <v>9.8786311765372616</v>
      </c>
      <c r="N140" s="2">
        <v>0.94099999999999995</v>
      </c>
      <c r="O140">
        <v>1.71191465854645</v>
      </c>
      <c r="P140">
        <v>1.77612352371216</v>
      </c>
    </row>
    <row r="141" spans="1:16" x14ac:dyDescent="0.25">
      <c r="A141" t="s">
        <v>109</v>
      </c>
      <c r="B141" s="1" t="s">
        <v>71</v>
      </c>
      <c r="C141">
        <v>2016</v>
      </c>
      <c r="D141">
        <v>3469853463945.5337</v>
      </c>
      <c r="E141">
        <v>948807461942.80383</v>
      </c>
      <c r="F141">
        <v>43567225</v>
      </c>
      <c r="G141">
        <f t="shared" si="8"/>
        <v>28.87513347958512</v>
      </c>
      <c r="H141">
        <f t="shared" si="8"/>
        <v>27.578471729769827</v>
      </c>
      <c r="I141">
        <f t="shared" si="8"/>
        <v>17.589815705452484</v>
      </c>
      <c r="J141">
        <f t="shared" si="9"/>
        <v>9.9886560243173435</v>
      </c>
      <c r="K141">
        <v>2.94039011001587</v>
      </c>
      <c r="L141">
        <v>19419</v>
      </c>
      <c r="M141">
        <f t="shared" si="10"/>
        <v>9.8740072472136191</v>
      </c>
      <c r="N141" s="2">
        <v>0.94099999999999995</v>
      </c>
      <c r="O141">
        <v>1.8065539598464999</v>
      </c>
      <c r="P141">
        <v>1.78145051002502</v>
      </c>
    </row>
    <row r="142" spans="1:16" x14ac:dyDescent="0.25">
      <c r="A142" t="s">
        <v>109</v>
      </c>
      <c r="B142" s="1" t="s">
        <v>71</v>
      </c>
      <c r="C142">
        <v>2017</v>
      </c>
      <c r="D142">
        <v>3690849152517.6533</v>
      </c>
      <c r="E142">
        <v>1035325685887.0607</v>
      </c>
      <c r="F142">
        <v>43819028</v>
      </c>
      <c r="G142">
        <f t="shared" si="8"/>
        <v>28.936877670140344</v>
      </c>
      <c r="H142">
        <f t="shared" si="8"/>
        <v>27.665737165501568</v>
      </c>
      <c r="I142">
        <f t="shared" si="8"/>
        <v>17.595578710233365</v>
      </c>
      <c r="J142">
        <f t="shared" si="9"/>
        <v>10.070158455268203</v>
      </c>
      <c r="K142">
        <v>3.0471000671386701</v>
      </c>
      <c r="L142">
        <v>19927</v>
      </c>
      <c r="M142">
        <f t="shared" si="10"/>
        <v>9.8998308750325847</v>
      </c>
      <c r="N142" s="2">
        <v>0.94399999999999995</v>
      </c>
      <c r="O142">
        <v>1.7748383283615099</v>
      </c>
      <c r="P142">
        <v>1.7966178655624401</v>
      </c>
    </row>
    <row r="143" spans="1:16" x14ac:dyDescent="0.25">
      <c r="A143" t="s">
        <v>109</v>
      </c>
      <c r="B143" s="1" t="s">
        <v>71</v>
      </c>
      <c r="C143">
        <v>2018</v>
      </c>
      <c r="D143">
        <v>3974443355019.605</v>
      </c>
      <c r="E143">
        <v>1113537359702.7444</v>
      </c>
      <c r="F143">
        <v>43935038</v>
      </c>
      <c r="G143">
        <f t="shared" si="8"/>
        <v>29.010905817755766</v>
      </c>
      <c r="H143">
        <f t="shared" si="8"/>
        <v>27.73856287467753</v>
      </c>
      <c r="I143">
        <f t="shared" si="8"/>
        <v>17.598222691825786</v>
      </c>
      <c r="J143">
        <f t="shared" si="9"/>
        <v>10.140340182851745</v>
      </c>
      <c r="K143">
        <v>3.1101100444793701</v>
      </c>
      <c r="L143">
        <v>21281</v>
      </c>
      <c r="M143">
        <f t="shared" si="10"/>
        <v>9.9655699348326721</v>
      </c>
      <c r="N143" s="2">
        <v>0.94599999999999995</v>
      </c>
      <c r="O143">
        <v>1.7563267946243299</v>
      </c>
      <c r="P143">
        <v>1.8983253240585301</v>
      </c>
    </row>
    <row r="144" spans="1:16" x14ac:dyDescent="0.25">
      <c r="A144" t="s">
        <v>109</v>
      </c>
      <c r="B144" s="1" t="s">
        <v>71</v>
      </c>
      <c r="C144">
        <v>2019</v>
      </c>
      <c r="D144">
        <v>3889177589254.8955</v>
      </c>
      <c r="E144">
        <v>1081444841231.3708</v>
      </c>
      <c r="F144">
        <v>44433744</v>
      </c>
      <c r="G144">
        <f t="shared" si="8"/>
        <v>28.989218834563268</v>
      </c>
      <c r="H144">
        <f t="shared" si="8"/>
        <v>27.709319078941203</v>
      </c>
      <c r="I144">
        <f t="shared" si="8"/>
        <v>17.609509738748695</v>
      </c>
      <c r="J144">
        <f t="shared" si="9"/>
        <v>10.099809340192508</v>
      </c>
      <c r="K144">
        <v>3.1677899360656698</v>
      </c>
      <c r="L144">
        <v>20802</v>
      </c>
      <c r="M144">
        <f t="shared" si="10"/>
        <v>9.9428044149130788</v>
      </c>
      <c r="N144" s="2">
        <v>0.95099999999999996</v>
      </c>
      <c r="O144">
        <v>1.71493887901306</v>
      </c>
      <c r="P144">
        <v>1.8653662204742401</v>
      </c>
    </row>
    <row r="145" spans="1:16" x14ac:dyDescent="0.25">
      <c r="A145" t="s">
        <v>109</v>
      </c>
      <c r="B145" s="1" t="s">
        <v>71</v>
      </c>
      <c r="C145">
        <v>2020</v>
      </c>
      <c r="D145">
        <v>3887727161914.4077</v>
      </c>
      <c r="E145">
        <v>1079850476538.5244</v>
      </c>
      <c r="F145">
        <v>43501190</v>
      </c>
      <c r="G145">
        <f t="shared" si="8"/>
        <v>28.98884582565967</v>
      </c>
      <c r="H145">
        <f t="shared" si="8"/>
        <v>27.707843699830402</v>
      </c>
      <c r="I145">
        <f t="shared" si="8"/>
        <v>17.588298852006574</v>
      </c>
      <c r="J145">
        <f t="shared" si="9"/>
        <v>10.119544847823828</v>
      </c>
      <c r="K145">
        <v>3.1297900676727299</v>
      </c>
      <c r="L145">
        <v>19845</v>
      </c>
      <c r="M145">
        <f t="shared" si="10"/>
        <v>9.8957073652171665</v>
      </c>
      <c r="N145" s="2">
        <v>0.94799999999999995</v>
      </c>
      <c r="O145">
        <v>1.5779347419738801</v>
      </c>
      <c r="P145">
        <v>1.8257138729095499</v>
      </c>
    </row>
    <row r="146" spans="1:16" x14ac:dyDescent="0.25">
      <c r="A146" t="s">
        <v>48</v>
      </c>
      <c r="B146" s="1" t="s">
        <v>42</v>
      </c>
      <c r="C146">
        <v>2005</v>
      </c>
      <c r="D146">
        <v>247875422204.41388</v>
      </c>
      <c r="E146">
        <v>34263510096.884029</v>
      </c>
      <c r="F146">
        <v>4955025</v>
      </c>
      <c r="G146">
        <f t="shared" si="8"/>
        <v>26.236192127080589</v>
      </c>
      <c r="H146">
        <f t="shared" si="8"/>
        <v>24.257346779261049</v>
      </c>
      <c r="I146">
        <f t="shared" si="8"/>
        <v>15.415912771142175</v>
      </c>
      <c r="J146">
        <f t="shared" si="9"/>
        <v>8.841434008118874</v>
      </c>
      <c r="K146">
        <v>0.578960001468658</v>
      </c>
      <c r="L146">
        <v>20</v>
      </c>
      <c r="M146">
        <f t="shared" si="10"/>
        <v>2.9957322735539909</v>
      </c>
      <c r="N146" s="2">
        <v>0.86399999999999999</v>
      </c>
      <c r="O146">
        <v>0.95865023136138905</v>
      </c>
      <c r="P146">
        <v>0.351383656263351</v>
      </c>
    </row>
    <row r="147" spans="1:16" x14ac:dyDescent="0.25">
      <c r="A147" t="s">
        <v>48</v>
      </c>
      <c r="B147" s="1" t="s">
        <v>42</v>
      </c>
      <c r="C147">
        <v>2006</v>
      </c>
      <c r="D147">
        <v>273546728473.07257</v>
      </c>
      <c r="E147">
        <v>42809188617.059937</v>
      </c>
      <c r="F147">
        <v>4987310</v>
      </c>
      <c r="G147">
        <f t="shared" si="8"/>
        <v>26.334738297863883</v>
      </c>
      <c r="H147">
        <f t="shared" si="8"/>
        <v>24.480018603806624</v>
      </c>
      <c r="I147">
        <f t="shared" si="8"/>
        <v>15.422407244216519</v>
      </c>
      <c r="J147">
        <f t="shared" si="9"/>
        <v>9.0576113595901049</v>
      </c>
      <c r="K147">
        <v>0.56117999553680398</v>
      </c>
      <c r="L147">
        <v>30</v>
      </c>
      <c r="M147">
        <f t="shared" si="10"/>
        <v>3.4011973816621555</v>
      </c>
      <c r="N147" s="2">
        <v>0.872</v>
      </c>
      <c r="O147">
        <v>0.85774230957031306</v>
      </c>
      <c r="P147">
        <v>0.35753244161605802</v>
      </c>
    </row>
    <row r="148" spans="1:16" x14ac:dyDescent="0.25">
      <c r="A148" t="s">
        <v>48</v>
      </c>
      <c r="B148" s="1" t="s">
        <v>42</v>
      </c>
      <c r="C148">
        <v>2007</v>
      </c>
      <c r="D148">
        <v>318902829550.73315</v>
      </c>
      <c r="E148">
        <v>46710537497.023682</v>
      </c>
      <c r="F148">
        <v>4976699</v>
      </c>
      <c r="G148">
        <f t="shared" si="8"/>
        <v>26.488152283769509</v>
      </c>
      <c r="H148">
        <f t="shared" si="8"/>
        <v>24.567235618502416</v>
      </c>
      <c r="I148">
        <f t="shared" si="8"/>
        <v>15.420277377812093</v>
      </c>
      <c r="J148">
        <f t="shared" si="9"/>
        <v>9.1469582406903225</v>
      </c>
      <c r="K148">
        <v>0.57655000686645497</v>
      </c>
      <c r="L148">
        <v>20</v>
      </c>
      <c r="M148">
        <f t="shared" si="10"/>
        <v>2.9957322735539909</v>
      </c>
      <c r="N148" s="2">
        <v>0.86599999999999999</v>
      </c>
      <c r="O148">
        <v>0.89438337087631203</v>
      </c>
      <c r="P148">
        <v>0.26193070411682101</v>
      </c>
    </row>
    <row r="149" spans="1:16" x14ac:dyDescent="0.25">
      <c r="A149" t="s">
        <v>48</v>
      </c>
      <c r="B149" s="1" t="s">
        <v>42</v>
      </c>
      <c r="C149">
        <v>2008</v>
      </c>
      <c r="D149">
        <v>355908689477.44525</v>
      </c>
      <c r="E149">
        <v>42369914764.704681</v>
      </c>
      <c r="F149">
        <v>4982990</v>
      </c>
      <c r="G149">
        <f t="shared" si="8"/>
        <v>26.5979400446673</v>
      </c>
      <c r="H149">
        <f t="shared" si="8"/>
        <v>24.469704389893092</v>
      </c>
      <c r="I149">
        <f t="shared" si="8"/>
        <v>15.421540670438329</v>
      </c>
      <c r="J149">
        <f t="shared" si="9"/>
        <v>9.0481637194547631</v>
      </c>
      <c r="K149">
        <v>0.66183000802993797</v>
      </c>
      <c r="L149">
        <v>30</v>
      </c>
      <c r="M149">
        <f t="shared" si="10"/>
        <v>3.4011973816621555</v>
      </c>
      <c r="N149" s="2">
        <v>0.871</v>
      </c>
      <c r="O149">
        <v>0.881061792373657</v>
      </c>
      <c r="P149">
        <v>0.126674965023994</v>
      </c>
    </row>
    <row r="150" spans="1:16" x14ac:dyDescent="0.25">
      <c r="A150" t="s">
        <v>48</v>
      </c>
      <c r="B150" s="1" t="s">
        <v>42</v>
      </c>
      <c r="C150">
        <v>2009</v>
      </c>
      <c r="D150">
        <v>331308500253.27441</v>
      </c>
      <c r="E150">
        <v>28354785704.697636</v>
      </c>
      <c r="F150">
        <v>5019313</v>
      </c>
      <c r="G150">
        <f t="shared" si="8"/>
        <v>26.526315803192283</v>
      </c>
      <c r="H150">
        <f t="shared" si="8"/>
        <v>24.068061660799561</v>
      </c>
      <c r="I150">
        <f t="shared" si="8"/>
        <v>15.4288036297131</v>
      </c>
      <c r="J150">
        <f t="shared" si="9"/>
        <v>8.6392580310864613</v>
      </c>
      <c r="K150">
        <v>0.62556999921798695</v>
      </c>
      <c r="L150">
        <v>22</v>
      </c>
      <c r="M150">
        <f t="shared" si="10"/>
        <v>3.0910424533583161</v>
      </c>
      <c r="N150" s="2">
        <v>0.873</v>
      </c>
      <c r="O150">
        <v>0.83492147922515902</v>
      </c>
      <c r="P150">
        <v>6.2898904085159302E-2</v>
      </c>
    </row>
    <row r="151" spans="1:16" x14ac:dyDescent="0.25">
      <c r="A151" t="s">
        <v>48</v>
      </c>
      <c r="B151" s="1" t="s">
        <v>42</v>
      </c>
      <c r="C151">
        <v>2010</v>
      </c>
      <c r="D151">
        <v>297124961971.50055</v>
      </c>
      <c r="E151">
        <v>30856954252.566727</v>
      </c>
      <c r="F151">
        <v>5028603</v>
      </c>
      <c r="G151">
        <f t="shared" si="8"/>
        <v>26.417418634638544</v>
      </c>
      <c r="H151">
        <f t="shared" si="8"/>
        <v>24.152627983371247</v>
      </c>
      <c r="I151">
        <f t="shared" si="8"/>
        <v>15.430652769902395</v>
      </c>
      <c r="J151">
        <f t="shared" si="9"/>
        <v>8.721975213468852</v>
      </c>
      <c r="K151">
        <v>0.60347002744674705</v>
      </c>
      <c r="L151">
        <v>16</v>
      </c>
      <c r="M151">
        <f t="shared" si="10"/>
        <v>2.7725887222397811</v>
      </c>
      <c r="N151" s="2">
        <v>0.874</v>
      </c>
      <c r="O151">
        <v>0.64282149076461803</v>
      </c>
      <c r="P151">
        <v>-6.2511667609214797E-2</v>
      </c>
    </row>
    <row r="152" spans="1:16" x14ac:dyDescent="0.25">
      <c r="A152" t="s">
        <v>48</v>
      </c>
      <c r="B152" s="1" t="s">
        <v>42</v>
      </c>
      <c r="C152">
        <v>2011</v>
      </c>
      <c r="D152">
        <v>282995942006.55701</v>
      </c>
      <c r="E152">
        <v>23138344109.377476</v>
      </c>
      <c r="F152">
        <v>4942452</v>
      </c>
      <c r="G152">
        <f t="shared" si="8"/>
        <v>26.368698395287396</v>
      </c>
      <c r="H152">
        <f t="shared" si="8"/>
        <v>23.864756996487532</v>
      </c>
      <c r="I152">
        <f t="shared" si="8"/>
        <v>15.41337212229538</v>
      </c>
      <c r="J152">
        <f t="shared" si="9"/>
        <v>8.4513848741921525</v>
      </c>
      <c r="K152">
        <v>0.68426001071929898</v>
      </c>
      <c r="L152">
        <v>19</v>
      </c>
      <c r="M152">
        <f t="shared" si="10"/>
        <v>2.9444389791664403</v>
      </c>
      <c r="N152" s="2">
        <v>0.871</v>
      </c>
      <c r="O152">
        <v>0.49234378337860102</v>
      </c>
      <c r="P152">
        <v>-0.101170934736729</v>
      </c>
    </row>
    <row r="153" spans="1:16" x14ac:dyDescent="0.25">
      <c r="A153" t="s">
        <v>48</v>
      </c>
      <c r="B153" s="1" t="s">
        <v>42</v>
      </c>
      <c r="C153">
        <v>2012</v>
      </c>
      <c r="D153">
        <v>242029307133.40787</v>
      </c>
      <c r="E153">
        <v>18204971115.139458</v>
      </c>
      <c r="F153">
        <v>4893346</v>
      </c>
      <c r="G153">
        <f t="shared" si="8"/>
        <v>26.212324659627676</v>
      </c>
      <c r="H153">
        <f t="shared" si="8"/>
        <v>23.624960531928192</v>
      </c>
      <c r="I153">
        <f t="shared" si="8"/>
        <v>15.403386881035042</v>
      </c>
      <c r="J153">
        <f t="shared" si="9"/>
        <v>8.2215736508931503</v>
      </c>
      <c r="K153">
        <v>0.71004998683929399</v>
      </c>
      <c r="L153">
        <v>28</v>
      </c>
      <c r="M153">
        <f t="shared" si="10"/>
        <v>3.3322045101752038</v>
      </c>
      <c r="N153" s="2">
        <v>0.87</v>
      </c>
      <c r="O153">
        <v>0.52199268341064498</v>
      </c>
      <c r="P153">
        <v>-0.19037801027297999</v>
      </c>
    </row>
    <row r="154" spans="1:16" x14ac:dyDescent="0.25">
      <c r="A154" t="s">
        <v>48</v>
      </c>
      <c r="B154" s="1" t="s">
        <v>42</v>
      </c>
      <c r="C154">
        <v>2013</v>
      </c>
      <c r="D154">
        <v>238907690051.1301</v>
      </c>
      <c r="E154">
        <v>22652888617.953789</v>
      </c>
      <c r="F154">
        <v>4838419</v>
      </c>
      <c r="G154">
        <f t="shared" si="8"/>
        <v>26.199343080174632</v>
      </c>
      <c r="H154">
        <f t="shared" si="8"/>
        <v>23.843553213545331</v>
      </c>
      <c r="I154">
        <f t="shared" si="8"/>
        <v>15.392098572437575</v>
      </c>
      <c r="J154">
        <f t="shared" si="9"/>
        <v>8.4514546411077554</v>
      </c>
      <c r="K154">
        <v>0.81477999687194802</v>
      </c>
      <c r="L154">
        <v>19</v>
      </c>
      <c r="M154">
        <f t="shared" si="10"/>
        <v>2.9444389791664403</v>
      </c>
      <c r="N154" s="2">
        <v>0.874</v>
      </c>
      <c r="O154">
        <v>0.62821757793426503</v>
      </c>
      <c r="P154">
        <v>-7.5100533664226504E-2</v>
      </c>
    </row>
    <row r="155" spans="1:16" x14ac:dyDescent="0.25">
      <c r="A155" t="s">
        <v>48</v>
      </c>
      <c r="B155" s="1" t="s">
        <v>42</v>
      </c>
      <c r="C155">
        <v>2014</v>
      </c>
      <c r="D155">
        <v>235458133124.60779</v>
      </c>
      <c r="E155">
        <v>24339659487.527756</v>
      </c>
      <c r="F155">
        <v>4784920</v>
      </c>
      <c r="G155">
        <f t="shared" si="8"/>
        <v>26.184798955934298</v>
      </c>
      <c r="H155">
        <f t="shared" si="8"/>
        <v>23.915372934577523</v>
      </c>
      <c r="I155">
        <f t="shared" si="8"/>
        <v>15.380979863816158</v>
      </c>
      <c r="J155">
        <f t="shared" si="9"/>
        <v>8.5343930707613644</v>
      </c>
      <c r="K155">
        <v>0.83998000621795699</v>
      </c>
      <c r="L155">
        <v>19</v>
      </c>
      <c r="M155">
        <f t="shared" si="10"/>
        <v>2.9444389791664403</v>
      </c>
      <c r="N155" s="2">
        <v>0.879</v>
      </c>
      <c r="O155">
        <v>0.32616448402404802</v>
      </c>
      <c r="P155">
        <v>-0.13570444285869601</v>
      </c>
    </row>
    <row r="156" spans="1:16" x14ac:dyDescent="0.25">
      <c r="A156" t="s">
        <v>48</v>
      </c>
      <c r="B156" s="1" t="s">
        <v>42</v>
      </c>
      <c r="C156">
        <v>2015</v>
      </c>
      <c r="D156">
        <v>195683527003.37451</v>
      </c>
      <c r="E156">
        <v>21630085834.768349</v>
      </c>
      <c r="F156">
        <v>4754679</v>
      </c>
      <c r="G156">
        <f t="shared" si="8"/>
        <v>25.999764533065512</v>
      </c>
      <c r="H156">
        <f t="shared" si="8"/>
        <v>23.797351045223817</v>
      </c>
      <c r="I156">
        <f t="shared" si="8"/>
        <v>15.374639743796433</v>
      </c>
      <c r="J156">
        <f t="shared" si="9"/>
        <v>8.422711301427384</v>
      </c>
      <c r="K156">
        <v>0.96605002880096402</v>
      </c>
      <c r="L156">
        <v>23</v>
      </c>
      <c r="M156">
        <f t="shared" si="10"/>
        <v>3.1354942159291497</v>
      </c>
      <c r="N156" s="2">
        <v>0.88100000000000001</v>
      </c>
      <c r="O156">
        <v>0.39189046621322599</v>
      </c>
      <c r="P156">
        <v>-0.118774399161339</v>
      </c>
    </row>
    <row r="157" spans="1:16" x14ac:dyDescent="0.25">
      <c r="A157" t="s">
        <v>48</v>
      </c>
      <c r="B157" s="1" t="s">
        <v>42</v>
      </c>
      <c r="C157">
        <v>2016</v>
      </c>
      <c r="D157">
        <v>193148146586.93277</v>
      </c>
      <c r="E157">
        <v>22004607376.10667</v>
      </c>
      <c r="F157">
        <v>4730250</v>
      </c>
      <c r="G157">
        <f t="shared" si="8"/>
        <v>25.986723330293959</v>
      </c>
      <c r="H157">
        <f t="shared" si="8"/>
        <v>23.814517694564792</v>
      </c>
      <c r="I157">
        <f t="shared" si="8"/>
        <v>15.369488613194008</v>
      </c>
      <c r="J157">
        <f t="shared" si="9"/>
        <v>8.4450290813707838</v>
      </c>
      <c r="K157">
        <v>1.0052900314331099</v>
      </c>
      <c r="L157">
        <v>40</v>
      </c>
      <c r="M157">
        <f t="shared" si="10"/>
        <v>3.6888794541139363</v>
      </c>
      <c r="N157" s="2">
        <v>0.877</v>
      </c>
      <c r="O157">
        <v>0.13528887927532199</v>
      </c>
      <c r="P157">
        <v>-0.133906334638596</v>
      </c>
    </row>
    <row r="158" spans="1:16" x14ac:dyDescent="0.25">
      <c r="A158" t="s">
        <v>48</v>
      </c>
      <c r="B158" s="1" t="s">
        <v>42</v>
      </c>
      <c r="C158">
        <v>2017</v>
      </c>
      <c r="D158">
        <v>199844406013.53094</v>
      </c>
      <c r="E158">
        <v>21007438189.529449</v>
      </c>
      <c r="F158">
        <v>4709718</v>
      </c>
      <c r="G158">
        <f t="shared" si="8"/>
        <v>26.020804930786451</v>
      </c>
      <c r="H158">
        <f t="shared" si="8"/>
        <v>23.768142411457401</v>
      </c>
      <c r="I158">
        <f t="shared" si="8"/>
        <v>15.3651385915887</v>
      </c>
      <c r="J158">
        <f t="shared" si="9"/>
        <v>8.4030038198687009</v>
      </c>
      <c r="K158">
        <v>1.1522799730300901</v>
      </c>
      <c r="L158">
        <v>91</v>
      </c>
      <c r="M158">
        <f t="shared" si="10"/>
        <v>4.5108595065168497</v>
      </c>
      <c r="N158" s="2">
        <v>0.88</v>
      </c>
      <c r="O158">
        <v>0.22382023930549599</v>
      </c>
      <c r="P158">
        <v>-0.11162028461694699</v>
      </c>
    </row>
    <row r="159" spans="1:16" x14ac:dyDescent="0.25">
      <c r="A159" t="s">
        <v>48</v>
      </c>
      <c r="B159" s="1" t="s">
        <v>42</v>
      </c>
      <c r="C159">
        <v>2018</v>
      </c>
      <c r="D159">
        <v>212049447242.11121</v>
      </c>
      <c r="E159">
        <v>23295403555.440769</v>
      </c>
      <c r="F159">
        <v>4682252</v>
      </c>
      <c r="G159">
        <f t="shared" si="8"/>
        <v>26.080085326129876</v>
      </c>
      <c r="H159">
        <f t="shared" si="8"/>
        <v>23.871521905758648</v>
      </c>
      <c r="I159">
        <f t="shared" si="8"/>
        <v>15.359289748737078</v>
      </c>
      <c r="J159">
        <f t="shared" si="9"/>
        <v>8.51223215702157</v>
      </c>
      <c r="K159">
        <v>1.2137099504470801</v>
      </c>
      <c r="L159">
        <v>149</v>
      </c>
      <c r="M159">
        <f t="shared" si="10"/>
        <v>5.0039463059454592</v>
      </c>
      <c r="N159" s="2">
        <v>0.88600000000000001</v>
      </c>
      <c r="O159">
        <v>0.40208792686462402</v>
      </c>
      <c r="P159">
        <v>-5.5737923830747597E-2</v>
      </c>
    </row>
    <row r="160" spans="1:16" x14ac:dyDescent="0.25">
      <c r="A160" t="s">
        <v>48</v>
      </c>
      <c r="B160" s="1" t="s">
        <v>42</v>
      </c>
      <c r="C160">
        <v>2019</v>
      </c>
      <c r="D160">
        <v>205252760889.36438</v>
      </c>
      <c r="E160">
        <v>22110575360.909767</v>
      </c>
      <c r="F160">
        <v>4684352</v>
      </c>
      <c r="G160">
        <f t="shared" si="8"/>
        <v>26.047508036537394</v>
      </c>
      <c r="H160">
        <f t="shared" si="8"/>
        <v>23.819321854132532</v>
      </c>
      <c r="I160">
        <f t="shared" si="8"/>
        <v>15.359738150321085</v>
      </c>
      <c r="J160">
        <f t="shared" si="9"/>
        <v>8.4595837038114468</v>
      </c>
      <c r="K160">
        <v>1.2749600410461399</v>
      </c>
      <c r="L160">
        <v>238</v>
      </c>
      <c r="M160">
        <f t="shared" si="10"/>
        <v>5.472270673671475</v>
      </c>
      <c r="N160" s="2">
        <v>0.89</v>
      </c>
      <c r="O160">
        <v>0.51732581853866599</v>
      </c>
      <c r="P160">
        <v>1.4072024263441601E-2</v>
      </c>
    </row>
    <row r="161" spans="1:16" x14ac:dyDescent="0.25">
      <c r="A161" t="s">
        <v>48</v>
      </c>
      <c r="B161" s="1" t="s">
        <v>42</v>
      </c>
      <c r="C161">
        <v>2020</v>
      </c>
      <c r="D161">
        <v>188480337285.60519</v>
      </c>
      <c r="E161">
        <v>12664697868.737778</v>
      </c>
      <c r="F161">
        <v>4599448</v>
      </c>
      <c r="G161">
        <f t="shared" si="8"/>
        <v>25.962259526911456</v>
      </c>
      <c r="H161">
        <f t="shared" si="8"/>
        <v>23.262084264508534</v>
      </c>
      <c r="I161">
        <f t="shared" si="8"/>
        <v>15.341446854258747</v>
      </c>
      <c r="J161">
        <f t="shared" si="9"/>
        <v>7.9206374102497872</v>
      </c>
      <c r="K161">
        <v>1.5079300403595</v>
      </c>
      <c r="L161">
        <v>363</v>
      </c>
      <c r="M161">
        <f t="shared" si="10"/>
        <v>5.8944028342648505</v>
      </c>
      <c r="N161" s="2">
        <v>0.88700000000000001</v>
      </c>
      <c r="O161">
        <v>0.53649765253067005</v>
      </c>
      <c r="P161">
        <v>3.20753939449787E-2</v>
      </c>
    </row>
    <row r="162" spans="1:16" x14ac:dyDescent="0.25">
      <c r="A162" t="s">
        <v>95</v>
      </c>
      <c r="B162" s="1" t="s">
        <v>91</v>
      </c>
      <c r="C162">
        <v>2005</v>
      </c>
      <c r="D162">
        <v>147083996033.60297</v>
      </c>
      <c r="E162">
        <v>34334604808.699333</v>
      </c>
      <c r="F162">
        <v>3101315</v>
      </c>
      <c r="G162">
        <f t="shared" ref="G162:I178" si="11">LN(D162)</f>
        <v>25.714269662126558</v>
      </c>
      <c r="H162">
        <f t="shared" si="11"/>
        <v>24.25941956908531</v>
      </c>
      <c r="I162">
        <f t="shared" si="11"/>
        <v>14.947336773059114</v>
      </c>
      <c r="J162">
        <f t="shared" si="9"/>
        <v>9.3120827960261963</v>
      </c>
      <c r="K162">
        <v>3.9228200912475599</v>
      </c>
      <c r="L162">
        <v>5157</v>
      </c>
      <c r="M162">
        <f t="shared" si="10"/>
        <v>8.548110294050959</v>
      </c>
      <c r="N162" s="2">
        <v>0.85599999999999998</v>
      </c>
      <c r="O162">
        <v>0.86168801784515403</v>
      </c>
      <c r="P162">
        <v>0.82301837205886796</v>
      </c>
    </row>
    <row r="163" spans="1:16" x14ac:dyDescent="0.25">
      <c r="A163" t="s">
        <v>95</v>
      </c>
      <c r="B163" s="1" t="s">
        <v>91</v>
      </c>
      <c r="C163">
        <v>2006</v>
      </c>
      <c r="D163">
        <v>158670456932.53735</v>
      </c>
      <c r="E163">
        <v>37498030881.098793</v>
      </c>
      <c r="F163">
        <v>3180735</v>
      </c>
      <c r="G163">
        <f t="shared" si="11"/>
        <v>25.79009529045468</v>
      </c>
      <c r="H163">
        <f t="shared" si="11"/>
        <v>24.347554258706722</v>
      </c>
      <c r="I163">
        <f t="shared" si="11"/>
        <v>14.972622860124929</v>
      </c>
      <c r="J163">
        <f t="shared" si="9"/>
        <v>9.3749313985817935</v>
      </c>
      <c r="K163">
        <v>4.01997995376587</v>
      </c>
      <c r="L163">
        <v>6154</v>
      </c>
      <c r="M163">
        <f t="shared" si="10"/>
        <v>8.7248575558819876</v>
      </c>
      <c r="N163" s="2">
        <v>0.86399999999999999</v>
      </c>
      <c r="O163">
        <v>0.99716562032699596</v>
      </c>
      <c r="P163">
        <v>1.00024521350861</v>
      </c>
    </row>
    <row r="164" spans="1:16" x14ac:dyDescent="0.25">
      <c r="A164" t="s">
        <v>95</v>
      </c>
      <c r="B164" s="1" t="s">
        <v>91</v>
      </c>
      <c r="C164">
        <v>2007</v>
      </c>
      <c r="D164">
        <v>184052121662.08221</v>
      </c>
      <c r="E164">
        <v>42887311165.74572</v>
      </c>
      <c r="F164">
        <v>3266238</v>
      </c>
      <c r="G164">
        <f t="shared" si="11"/>
        <v>25.938484824344673</v>
      </c>
      <c r="H164">
        <f t="shared" si="11"/>
        <v>24.481841842107489</v>
      </c>
      <c r="I164">
        <f t="shared" si="11"/>
        <v>14.999149421872207</v>
      </c>
      <c r="J164">
        <f t="shared" si="9"/>
        <v>9.4826924202352814</v>
      </c>
      <c r="K164">
        <v>4.2999801635742196</v>
      </c>
      <c r="L164">
        <v>6394</v>
      </c>
      <c r="M164">
        <f t="shared" si="10"/>
        <v>8.7631153296197866</v>
      </c>
      <c r="N164" s="2">
        <v>0.876</v>
      </c>
      <c r="O164">
        <v>1.10058665275574</v>
      </c>
      <c r="P164">
        <v>0.84334379434585605</v>
      </c>
    </row>
    <row r="165" spans="1:16" x14ac:dyDescent="0.25">
      <c r="A165" t="s">
        <v>95</v>
      </c>
      <c r="B165" s="1" t="s">
        <v>91</v>
      </c>
      <c r="C165">
        <v>2008</v>
      </c>
      <c r="D165">
        <v>220531065217.3913</v>
      </c>
      <c r="E165">
        <v>49463874024.526199</v>
      </c>
      <c r="F165">
        <v>3324067</v>
      </c>
      <c r="G165">
        <f t="shared" si="11"/>
        <v>26.119304407249547</v>
      </c>
      <c r="H165">
        <f t="shared" si="11"/>
        <v>24.624508422388143</v>
      </c>
      <c r="I165">
        <f t="shared" si="11"/>
        <v>15.016699591192364</v>
      </c>
      <c r="J165">
        <f t="shared" si="9"/>
        <v>9.6078088311957792</v>
      </c>
      <c r="K165">
        <v>4.2551198005676296</v>
      </c>
      <c r="L165">
        <v>6214</v>
      </c>
      <c r="M165">
        <f t="shared" si="10"/>
        <v>8.7345600899529927</v>
      </c>
      <c r="N165" s="2">
        <v>0.877</v>
      </c>
      <c r="O165">
        <v>1.1712623834610001</v>
      </c>
      <c r="P165">
        <v>0.88493114709854104</v>
      </c>
    </row>
    <row r="166" spans="1:16" x14ac:dyDescent="0.25">
      <c r="A166" t="s">
        <v>95</v>
      </c>
      <c r="B166" s="1" t="s">
        <v>91</v>
      </c>
      <c r="C166">
        <v>2009</v>
      </c>
      <c r="D166">
        <v>211970040942.95959</v>
      </c>
      <c r="E166">
        <v>49018940823.436661</v>
      </c>
      <c r="F166">
        <v>3403706</v>
      </c>
      <c r="G166">
        <f t="shared" si="11"/>
        <v>26.079710785325538</v>
      </c>
      <c r="H166">
        <f t="shared" si="11"/>
        <v>24.615472607783907</v>
      </c>
      <c r="I166">
        <f t="shared" si="11"/>
        <v>15.040375395967713</v>
      </c>
      <c r="J166">
        <f t="shared" si="9"/>
        <v>9.5750972118161943</v>
      </c>
      <c r="K166">
        <v>4.0451598167419398</v>
      </c>
      <c r="L166">
        <v>5387</v>
      </c>
      <c r="M166">
        <f t="shared" si="10"/>
        <v>8.5917439226805339</v>
      </c>
      <c r="N166" s="2">
        <v>0.88100000000000001</v>
      </c>
      <c r="O166">
        <v>1.09900569915771</v>
      </c>
      <c r="P166">
        <v>0.80325955152511597</v>
      </c>
    </row>
    <row r="167" spans="1:16" x14ac:dyDescent="0.25">
      <c r="A167" t="s">
        <v>95</v>
      </c>
      <c r="B167" s="1" t="s">
        <v>91</v>
      </c>
      <c r="C167">
        <v>2010</v>
      </c>
      <c r="D167">
        <v>238364092298.02286</v>
      </c>
      <c r="E167">
        <v>54807222032.776367</v>
      </c>
      <c r="F167">
        <v>3482638</v>
      </c>
      <c r="G167">
        <f t="shared" si="11"/>
        <v>26.197065141238067</v>
      </c>
      <c r="H167">
        <f t="shared" si="11"/>
        <v>24.727087811136261</v>
      </c>
      <c r="I167">
        <f t="shared" si="11"/>
        <v>15.063300610555935</v>
      </c>
      <c r="J167">
        <f t="shared" si="9"/>
        <v>9.6637872005803267</v>
      </c>
      <c r="K167">
        <v>3.8632900714874299</v>
      </c>
      <c r="L167">
        <v>5856</v>
      </c>
      <c r="M167">
        <f t="shared" si="10"/>
        <v>8.6752220556411483</v>
      </c>
      <c r="N167" s="2">
        <v>0.88700000000000001</v>
      </c>
      <c r="O167">
        <v>1.2148251533508301</v>
      </c>
      <c r="P167">
        <v>0.75002670288085904</v>
      </c>
    </row>
    <row r="168" spans="1:16" x14ac:dyDescent="0.25">
      <c r="A168" t="s">
        <v>95</v>
      </c>
      <c r="B168" s="1" t="s">
        <v>91</v>
      </c>
      <c r="C168">
        <v>2011</v>
      </c>
      <c r="D168">
        <v>266791854430.89716</v>
      </c>
      <c r="E168">
        <v>61219750392.811974</v>
      </c>
      <c r="F168">
        <v>3531041</v>
      </c>
      <c r="G168">
        <f t="shared" si="11"/>
        <v>26.309734619902986</v>
      </c>
      <c r="H168">
        <f t="shared" si="11"/>
        <v>24.837735693238965</v>
      </c>
      <c r="I168">
        <f t="shared" si="11"/>
        <v>15.077103286284629</v>
      </c>
      <c r="J168">
        <f t="shared" si="9"/>
        <v>9.7606324069543362</v>
      </c>
      <c r="K168">
        <v>3.9352099895477299</v>
      </c>
      <c r="L168">
        <v>5526</v>
      </c>
      <c r="M168">
        <f t="shared" si="10"/>
        <v>8.6172195054833622</v>
      </c>
      <c r="N168" s="2">
        <v>0.89</v>
      </c>
      <c r="O168">
        <v>1.3111944198608401</v>
      </c>
      <c r="P168">
        <v>0.79770833253860496</v>
      </c>
    </row>
    <row r="169" spans="1:16" x14ac:dyDescent="0.25">
      <c r="A169" t="s">
        <v>95</v>
      </c>
      <c r="B169" s="1" t="s">
        <v>91</v>
      </c>
      <c r="C169">
        <v>2012</v>
      </c>
      <c r="D169">
        <v>262282344091.84918</v>
      </c>
      <c r="E169">
        <v>61479755745.723289</v>
      </c>
      <c r="F169">
        <v>3719680</v>
      </c>
      <c r="G169">
        <f t="shared" si="11"/>
        <v>26.292687409665966</v>
      </c>
      <c r="H169">
        <f t="shared" si="11"/>
        <v>24.841973782702656</v>
      </c>
      <c r="I169">
        <f t="shared" si="11"/>
        <v>15.129148201043892</v>
      </c>
      <c r="J169">
        <f t="shared" si="9"/>
        <v>9.7128255816587643</v>
      </c>
      <c r="K169">
        <v>4.0805201530456499</v>
      </c>
      <c r="L169">
        <v>5473</v>
      </c>
      <c r="M169">
        <f t="shared" si="10"/>
        <v>8.6075821911439174</v>
      </c>
      <c r="N169" s="2">
        <v>0.89100000000000001</v>
      </c>
      <c r="O169">
        <v>1.1711333990096999</v>
      </c>
      <c r="P169">
        <v>0.90211540460586503</v>
      </c>
    </row>
    <row r="170" spans="1:16" x14ac:dyDescent="0.25">
      <c r="A170" t="s">
        <v>95</v>
      </c>
      <c r="B170" s="1" t="s">
        <v>91</v>
      </c>
      <c r="C170">
        <v>2013</v>
      </c>
      <c r="D170">
        <v>297732778479.1286</v>
      </c>
      <c r="E170">
        <v>71416891188.6008</v>
      </c>
      <c r="F170">
        <v>3777692</v>
      </c>
      <c r="G170">
        <f t="shared" si="11"/>
        <v>26.41946220464806</v>
      </c>
      <c r="H170">
        <f t="shared" si="11"/>
        <v>24.991800249582298</v>
      </c>
      <c r="I170">
        <f t="shared" si="11"/>
        <v>15.14462379910408</v>
      </c>
      <c r="J170">
        <f t="shared" si="9"/>
        <v>9.8471764504782175</v>
      </c>
      <c r="K170">
        <v>4.0259900093078604</v>
      </c>
      <c r="L170">
        <v>4984</v>
      </c>
      <c r="M170">
        <f t="shared" si="10"/>
        <v>8.5139880604672893</v>
      </c>
      <c r="N170" s="2">
        <v>0.89600000000000002</v>
      </c>
      <c r="O170">
        <v>1.15938007831573</v>
      </c>
      <c r="P170">
        <v>0.90605098009109497</v>
      </c>
    </row>
    <row r="171" spans="1:16" x14ac:dyDescent="0.25">
      <c r="A171" t="s">
        <v>95</v>
      </c>
      <c r="B171" s="1" t="s">
        <v>91</v>
      </c>
      <c r="C171">
        <v>2014</v>
      </c>
      <c r="D171">
        <v>314330061977.26337</v>
      </c>
      <c r="E171">
        <v>76404636486.231537</v>
      </c>
      <c r="F171">
        <v>3878824</v>
      </c>
      <c r="G171">
        <f t="shared" si="11"/>
        <v>26.473709423574242</v>
      </c>
      <c r="H171">
        <f t="shared" si="11"/>
        <v>25.059309218270066</v>
      </c>
      <c r="I171">
        <f t="shared" si="11"/>
        <v>15.17104257287405</v>
      </c>
      <c r="J171">
        <f t="shared" si="9"/>
        <v>9.8882666453960155</v>
      </c>
      <c r="K171">
        <v>4.1106100082397496</v>
      </c>
      <c r="L171">
        <v>5148</v>
      </c>
      <c r="M171">
        <f t="shared" si="10"/>
        <v>8.5463635687160178</v>
      </c>
      <c r="N171" s="2">
        <v>0.89900000000000002</v>
      </c>
      <c r="O171">
        <v>1.21122050285339</v>
      </c>
      <c r="P171">
        <v>0.86089456081390403</v>
      </c>
    </row>
    <row r="172" spans="1:16" x14ac:dyDescent="0.25">
      <c r="A172" t="s">
        <v>95</v>
      </c>
      <c r="B172" s="1" t="s">
        <v>91</v>
      </c>
      <c r="C172">
        <v>2015</v>
      </c>
      <c r="D172">
        <v>303414276832.04004</v>
      </c>
      <c r="E172">
        <v>76412878693.023514</v>
      </c>
      <c r="F172">
        <v>3947873</v>
      </c>
      <c r="G172">
        <f t="shared" si="11"/>
        <v>26.438364958890983</v>
      </c>
      <c r="H172">
        <f t="shared" si="11"/>
        <v>25.059417088193094</v>
      </c>
      <c r="I172">
        <f t="shared" si="11"/>
        <v>15.188687510831679</v>
      </c>
      <c r="J172">
        <f t="shared" si="9"/>
        <v>9.8707295773614145</v>
      </c>
      <c r="K172">
        <v>4.2146301269531197</v>
      </c>
      <c r="L172">
        <v>5623</v>
      </c>
      <c r="M172">
        <f t="shared" si="10"/>
        <v>8.6346206082922023</v>
      </c>
      <c r="N172" s="2">
        <v>0.89900000000000002</v>
      </c>
      <c r="O172">
        <v>1.2592185735702499</v>
      </c>
      <c r="P172">
        <v>0.90721189975738503</v>
      </c>
    </row>
    <row r="173" spans="1:16" x14ac:dyDescent="0.25">
      <c r="A173" t="s">
        <v>95</v>
      </c>
      <c r="B173" s="1" t="s">
        <v>91</v>
      </c>
      <c r="C173">
        <v>2016</v>
      </c>
      <c r="D173">
        <v>322102790386.83502</v>
      </c>
      <c r="E173">
        <v>80554512615.32579</v>
      </c>
      <c r="F173">
        <v>4025458</v>
      </c>
      <c r="G173">
        <f t="shared" si="11"/>
        <v>26.498136556353259</v>
      </c>
      <c r="H173">
        <f t="shared" si="11"/>
        <v>25.112199967536824</v>
      </c>
      <c r="I173">
        <f t="shared" si="11"/>
        <v>15.20814925118122</v>
      </c>
      <c r="J173">
        <f t="shared" si="9"/>
        <v>9.904050716355604</v>
      </c>
      <c r="K173">
        <v>4.47173976898193</v>
      </c>
      <c r="L173">
        <v>5119</v>
      </c>
      <c r="M173">
        <f t="shared" si="10"/>
        <v>8.5407143864575836</v>
      </c>
      <c r="N173" s="2">
        <v>0.90200000000000002</v>
      </c>
      <c r="O173">
        <v>1.3009737730026201</v>
      </c>
      <c r="P173">
        <v>1.1470742225646999</v>
      </c>
    </row>
    <row r="174" spans="1:16" x14ac:dyDescent="0.25">
      <c r="A174" t="s">
        <v>95</v>
      </c>
      <c r="B174" s="1" t="s">
        <v>91</v>
      </c>
      <c r="C174">
        <v>2017</v>
      </c>
      <c r="D174">
        <v>358245427458.54095</v>
      </c>
      <c r="E174">
        <v>89945091462.290848</v>
      </c>
      <c r="F174">
        <v>4091598</v>
      </c>
      <c r="G174">
        <f t="shared" si="11"/>
        <v>26.604484140024155</v>
      </c>
      <c r="H174">
        <f t="shared" si="11"/>
        <v>25.222465226229641</v>
      </c>
      <c r="I174">
        <f t="shared" si="11"/>
        <v>15.224446160758536</v>
      </c>
      <c r="J174">
        <f t="shared" si="9"/>
        <v>9.9980190654711052</v>
      </c>
      <c r="K174">
        <v>4.6241497993469203</v>
      </c>
      <c r="L174">
        <v>5377</v>
      </c>
      <c r="M174">
        <f t="shared" si="10"/>
        <v>8.589885876809678</v>
      </c>
      <c r="N174" s="2">
        <v>0.90600000000000003</v>
      </c>
      <c r="O174">
        <v>1.2614097595214799</v>
      </c>
      <c r="P174">
        <v>0.79033613204956099</v>
      </c>
    </row>
    <row r="175" spans="1:16" x14ac:dyDescent="0.25">
      <c r="A175" t="s">
        <v>95</v>
      </c>
      <c r="B175" s="1" t="s">
        <v>91</v>
      </c>
      <c r="C175">
        <v>2018</v>
      </c>
      <c r="D175">
        <v>376691526553.27637</v>
      </c>
      <c r="E175">
        <v>94558014381.23172</v>
      </c>
      <c r="F175">
        <v>4168871</v>
      </c>
      <c r="G175">
        <f t="shared" si="11"/>
        <v>26.654692457505767</v>
      </c>
      <c r="H175">
        <f t="shared" si="11"/>
        <v>25.272479391877294</v>
      </c>
      <c r="I175">
        <f t="shared" si="11"/>
        <v>15.243155813712097</v>
      </c>
      <c r="J175">
        <f t="shared" si="9"/>
        <v>10.029323578165197</v>
      </c>
      <c r="K175">
        <v>4.7761301994323704</v>
      </c>
      <c r="L175">
        <v>5857</v>
      </c>
      <c r="M175">
        <f t="shared" si="10"/>
        <v>8.675392806089782</v>
      </c>
      <c r="N175" s="2">
        <v>0.90800000000000003</v>
      </c>
      <c r="O175">
        <v>1.2379453182220499</v>
      </c>
      <c r="P175">
        <v>0.75377184152603105</v>
      </c>
    </row>
    <row r="176" spans="1:16" x14ac:dyDescent="0.25">
      <c r="A176" t="s">
        <v>95</v>
      </c>
      <c r="B176" s="1" t="s">
        <v>91</v>
      </c>
      <c r="C176">
        <v>2019</v>
      </c>
      <c r="D176">
        <v>402470513619.14801</v>
      </c>
      <c r="E176">
        <v>104951133943.65921</v>
      </c>
      <c r="F176">
        <v>4222447</v>
      </c>
      <c r="G176">
        <f t="shared" si="11"/>
        <v>26.72088767303245</v>
      </c>
      <c r="H176">
        <f t="shared" si="11"/>
        <v>25.376760687763156</v>
      </c>
      <c r="I176">
        <f t="shared" si="11"/>
        <v>15.255925375779515</v>
      </c>
      <c r="J176">
        <f t="shared" si="9"/>
        <v>10.12083531198364</v>
      </c>
      <c r="K176">
        <v>5.2156400680542001</v>
      </c>
      <c r="L176">
        <v>6370</v>
      </c>
      <c r="M176">
        <f t="shared" si="10"/>
        <v>8.7593547485662082</v>
      </c>
      <c r="N176" s="2">
        <v>0.90900000000000003</v>
      </c>
      <c r="O176">
        <v>1.2699104547500599</v>
      </c>
      <c r="P176">
        <v>0.77411377429962203</v>
      </c>
    </row>
    <row r="177" spans="1:16" x14ac:dyDescent="0.25">
      <c r="A177" t="s">
        <v>95</v>
      </c>
      <c r="B177" s="1" t="s">
        <v>91</v>
      </c>
      <c r="C177">
        <v>2020</v>
      </c>
      <c r="D177">
        <v>413267669231.52216</v>
      </c>
      <c r="E177">
        <v>117789138594.98717</v>
      </c>
      <c r="F177">
        <v>4193305</v>
      </c>
      <c r="G177">
        <f t="shared" si="11"/>
        <v>26.747361329494595</v>
      </c>
      <c r="H177">
        <f t="shared" si="11"/>
        <v>25.492161901833118</v>
      </c>
      <c r="I177">
        <f t="shared" si="11"/>
        <v>15.248999763788875</v>
      </c>
      <c r="J177">
        <f t="shared" si="9"/>
        <v>10.243162138044243</v>
      </c>
      <c r="K177">
        <v>5.7055501937866202</v>
      </c>
      <c r="L177">
        <v>6481</v>
      </c>
      <c r="M177">
        <f t="shared" si="10"/>
        <v>8.7766300984277166</v>
      </c>
      <c r="N177" s="2">
        <v>0.90600000000000003</v>
      </c>
      <c r="O177">
        <v>1.2344214916229199</v>
      </c>
      <c r="P177">
        <v>0.53693544864654497</v>
      </c>
    </row>
    <row r="178" spans="1:16" x14ac:dyDescent="0.25">
      <c r="A178" t="s">
        <v>4</v>
      </c>
      <c r="B178" s="1" t="s">
        <v>31</v>
      </c>
      <c r="C178">
        <v>2005</v>
      </c>
      <c r="D178">
        <v>4831467035389.7998</v>
      </c>
      <c r="E178">
        <v>1326438827707.2207</v>
      </c>
      <c r="F178">
        <v>66666567</v>
      </c>
      <c r="G178">
        <f t="shared" si="11"/>
        <v>29.206171271510343</v>
      </c>
      <c r="H178">
        <f t="shared" si="11"/>
        <v>27.91351889389901</v>
      </c>
      <c r="I178">
        <f t="shared" si="11"/>
        <v>18.015214140843085</v>
      </c>
      <c r="J178">
        <f t="shared" si="9"/>
        <v>9.8983047530559247</v>
      </c>
      <c r="K178">
        <v>3.13091993331909</v>
      </c>
      <c r="L178">
        <v>59118</v>
      </c>
      <c r="M178">
        <f t="shared" si="10"/>
        <v>10.98729072555053</v>
      </c>
      <c r="N178" s="2">
        <v>0.89400000000000002</v>
      </c>
      <c r="O178">
        <v>1.2587310075759901</v>
      </c>
      <c r="P178">
        <v>1.2101241350173999</v>
      </c>
    </row>
    <row r="179" spans="1:16" x14ac:dyDescent="0.25">
      <c r="A179" t="s">
        <v>4</v>
      </c>
      <c r="B179" s="1" t="s">
        <v>31</v>
      </c>
      <c r="C179">
        <v>2006</v>
      </c>
      <c r="D179">
        <v>4601663122649.9209</v>
      </c>
      <c r="E179">
        <v>1259747049208.3787</v>
      </c>
      <c r="F179">
        <v>66782268</v>
      </c>
      <c r="G179">
        <f t="shared" ref="G179:I225" si="12">LN(D179)</f>
        <v>29.15743890248288</v>
      </c>
      <c r="H179">
        <f t="shared" si="12"/>
        <v>27.861932062141509</v>
      </c>
      <c r="I179">
        <f t="shared" si="12"/>
        <v>18.016948154167228</v>
      </c>
      <c r="J179">
        <f t="shared" si="9"/>
        <v>9.8449839079742816</v>
      </c>
      <c r="K179">
        <v>3.2276599407196001</v>
      </c>
      <c r="L179">
        <v>61614</v>
      </c>
      <c r="M179">
        <f t="shared" si="10"/>
        <v>11.028644396426349</v>
      </c>
      <c r="N179" s="2">
        <v>0.89800000000000002</v>
      </c>
      <c r="O179">
        <v>1.26020288467407</v>
      </c>
      <c r="P179">
        <v>1.3208487033844001</v>
      </c>
    </row>
    <row r="180" spans="1:16" x14ac:dyDescent="0.25">
      <c r="A180" t="s">
        <v>4</v>
      </c>
      <c r="B180" s="1" t="s">
        <v>31</v>
      </c>
      <c r="C180">
        <v>2007</v>
      </c>
      <c r="D180">
        <v>4579750920354.8086</v>
      </c>
      <c r="E180">
        <v>1260823669784.7622</v>
      </c>
      <c r="F180">
        <v>66892223</v>
      </c>
      <c r="G180">
        <f t="shared" si="12"/>
        <v>29.152665728373762</v>
      </c>
      <c r="H180">
        <f t="shared" si="12"/>
        <v>27.862786329497503</v>
      </c>
      <c r="I180">
        <f t="shared" si="12"/>
        <v>18.018593270209578</v>
      </c>
      <c r="J180">
        <f t="shared" si="9"/>
        <v>9.8441930592879245</v>
      </c>
      <c r="K180">
        <v>3.29257011413574</v>
      </c>
      <c r="L180">
        <v>62793</v>
      </c>
      <c r="M180">
        <f t="shared" si="10"/>
        <v>11.047598881275455</v>
      </c>
      <c r="N180" s="2">
        <v>0.9</v>
      </c>
      <c r="O180">
        <v>1.12917721271515</v>
      </c>
      <c r="P180">
        <v>1.2302278280258201</v>
      </c>
    </row>
    <row r="181" spans="1:16" x14ac:dyDescent="0.25">
      <c r="A181" t="s">
        <v>4</v>
      </c>
      <c r="B181" s="1" t="s">
        <v>31</v>
      </c>
      <c r="C181">
        <v>2008</v>
      </c>
      <c r="D181">
        <v>5106679115127.2988</v>
      </c>
      <c r="E181">
        <v>1338520406929.2131</v>
      </c>
      <c r="F181">
        <v>66726949</v>
      </c>
      <c r="G181">
        <f t="shared" si="12"/>
        <v>29.261570429258025</v>
      </c>
      <c r="H181">
        <f t="shared" si="12"/>
        <v>27.9225859459088</v>
      </c>
      <c r="I181">
        <f t="shared" si="12"/>
        <v>18.016119462270012</v>
      </c>
      <c r="J181">
        <f t="shared" si="9"/>
        <v>9.9064664836387877</v>
      </c>
      <c r="K181">
        <v>3.2922399044036901</v>
      </c>
      <c r="L181">
        <v>60892</v>
      </c>
      <c r="M181">
        <f t="shared" si="10"/>
        <v>11.016857082179145</v>
      </c>
      <c r="N181" s="2">
        <v>0.90100000000000002</v>
      </c>
      <c r="O181">
        <v>1.13206923007965</v>
      </c>
      <c r="P181">
        <v>1.3238885402679399</v>
      </c>
    </row>
    <row r="182" spans="1:16" x14ac:dyDescent="0.25">
      <c r="A182" t="s">
        <v>4</v>
      </c>
      <c r="B182" s="1" t="s">
        <v>31</v>
      </c>
      <c r="C182">
        <v>2009</v>
      </c>
      <c r="D182">
        <v>5289493117993.8896</v>
      </c>
      <c r="E182">
        <v>1219341434924.1907</v>
      </c>
      <c r="F182">
        <v>66456031</v>
      </c>
      <c r="G182">
        <f t="shared" si="12"/>
        <v>29.296743538303083</v>
      </c>
      <c r="H182">
        <f t="shared" si="12"/>
        <v>27.829332021486035</v>
      </c>
      <c r="I182">
        <f t="shared" si="12"/>
        <v>18.012051098974993</v>
      </c>
      <c r="J182">
        <f t="shared" si="9"/>
        <v>9.817280922511042</v>
      </c>
      <c r="K182">
        <v>3.1958999633789098</v>
      </c>
      <c r="L182">
        <v>53281</v>
      </c>
      <c r="M182">
        <f t="shared" si="10"/>
        <v>10.883335073806908</v>
      </c>
      <c r="N182" s="2">
        <v>0.9</v>
      </c>
      <c r="O182">
        <v>1.09656965732574</v>
      </c>
      <c r="P182">
        <v>1.36922454833984</v>
      </c>
    </row>
    <row r="183" spans="1:16" x14ac:dyDescent="0.25">
      <c r="A183" t="s">
        <v>4</v>
      </c>
      <c r="B183" s="1" t="s">
        <v>31</v>
      </c>
      <c r="C183">
        <v>2010</v>
      </c>
      <c r="D183">
        <v>5759071769013.1133</v>
      </c>
      <c r="E183">
        <v>1378078973113.1423</v>
      </c>
      <c r="F183">
        <v>66231664</v>
      </c>
      <c r="G183">
        <f t="shared" si="12"/>
        <v>29.381797426437096</v>
      </c>
      <c r="H183">
        <f t="shared" si="12"/>
        <v>27.951711596829345</v>
      </c>
      <c r="I183">
        <f t="shared" si="12"/>
        <v>18.008669214711453</v>
      </c>
      <c r="J183">
        <f t="shared" si="9"/>
        <v>9.9430423821178913</v>
      </c>
      <c r="K183">
        <v>3.1049499511718799</v>
      </c>
      <c r="L183">
        <v>54517</v>
      </c>
      <c r="M183">
        <f t="shared" si="10"/>
        <v>10.90626785861785</v>
      </c>
      <c r="N183" s="2">
        <v>0.90300000000000002</v>
      </c>
      <c r="O183">
        <v>1.0166825056076001</v>
      </c>
      <c r="P183">
        <v>1.55362319946289</v>
      </c>
    </row>
    <row r="184" spans="1:16" x14ac:dyDescent="0.25">
      <c r="A184" t="s">
        <v>4</v>
      </c>
      <c r="B184" s="1" t="s">
        <v>31</v>
      </c>
      <c r="C184">
        <v>2011</v>
      </c>
      <c r="D184">
        <v>6233147172341.3486</v>
      </c>
      <c r="E184">
        <v>1427049904124.6545</v>
      </c>
      <c r="F184">
        <v>65813075</v>
      </c>
      <c r="G184">
        <f t="shared" si="12"/>
        <v>29.460902485275216</v>
      </c>
      <c r="H184">
        <f t="shared" si="12"/>
        <v>27.986630425167512</v>
      </c>
      <c r="I184">
        <f t="shared" si="12"/>
        <v>18.002329084762373</v>
      </c>
      <c r="J184">
        <f t="shared" si="9"/>
        <v>9.9843013404051391</v>
      </c>
      <c r="K184">
        <v>3.2053699493408199</v>
      </c>
      <c r="L184">
        <v>55030</v>
      </c>
      <c r="M184">
        <f t="shared" si="10"/>
        <v>10.915633770053805</v>
      </c>
      <c r="N184" s="2">
        <v>0.90200000000000002</v>
      </c>
      <c r="O184">
        <v>1.0742613077163701</v>
      </c>
      <c r="P184">
        <v>1.5543754100799601</v>
      </c>
    </row>
    <row r="185" spans="1:16" x14ac:dyDescent="0.25">
      <c r="A185" t="s">
        <v>4</v>
      </c>
      <c r="B185" s="1" t="s">
        <v>31</v>
      </c>
      <c r="C185">
        <v>2012</v>
      </c>
      <c r="D185">
        <v>6272362996105.0342</v>
      </c>
      <c r="E185">
        <v>1402722912346.5386</v>
      </c>
      <c r="F185">
        <v>65518909</v>
      </c>
      <c r="G185">
        <f t="shared" si="12"/>
        <v>29.467174272956427</v>
      </c>
      <c r="H185">
        <f t="shared" si="12"/>
        <v>27.969436400998273</v>
      </c>
      <c r="I185">
        <f t="shared" si="12"/>
        <v>17.997849345966301</v>
      </c>
      <c r="J185">
        <f t="shared" si="9"/>
        <v>9.9715870550319714</v>
      </c>
      <c r="K185">
        <v>3.1737101078033398</v>
      </c>
      <c r="L185">
        <v>55783</v>
      </c>
      <c r="M185">
        <f t="shared" si="10"/>
        <v>10.929224442453062</v>
      </c>
      <c r="N185" s="2">
        <v>0.90600000000000003</v>
      </c>
      <c r="O185">
        <v>1.1375806331634499</v>
      </c>
      <c r="P185">
        <v>1.6189486980438199</v>
      </c>
    </row>
    <row r="186" spans="1:16" x14ac:dyDescent="0.25">
      <c r="A186" t="s">
        <v>4</v>
      </c>
      <c r="B186" s="1" t="s">
        <v>31</v>
      </c>
      <c r="C186">
        <v>2013</v>
      </c>
      <c r="D186">
        <v>5212328181166.1846</v>
      </c>
      <c r="E186">
        <v>1147085864019.9424</v>
      </c>
      <c r="F186">
        <v>65768575</v>
      </c>
      <c r="G186">
        <f t="shared" si="12"/>
        <v>29.282047739664364</v>
      </c>
      <c r="H186">
        <f t="shared" si="12"/>
        <v>27.768245810925151</v>
      </c>
      <c r="I186">
        <f t="shared" si="12"/>
        <v>18.001652698629556</v>
      </c>
      <c r="J186">
        <f t="shared" si="9"/>
        <v>9.7665931122955953</v>
      </c>
      <c r="K186">
        <v>3.2789599895477299</v>
      </c>
      <c r="L186">
        <v>56705</v>
      </c>
      <c r="M186">
        <f t="shared" si="10"/>
        <v>10.945617669249431</v>
      </c>
      <c r="N186" s="2">
        <v>0.90900000000000003</v>
      </c>
      <c r="O186">
        <v>1.1089547872543299</v>
      </c>
      <c r="P186">
        <v>1.6482784748077399</v>
      </c>
    </row>
    <row r="187" spans="1:16" x14ac:dyDescent="0.25">
      <c r="A187" t="s">
        <v>4</v>
      </c>
      <c r="B187" s="1" t="s">
        <v>31</v>
      </c>
      <c r="C187">
        <v>2014</v>
      </c>
      <c r="D187">
        <v>4896994405353.292</v>
      </c>
      <c r="E187">
        <v>1098995145052.0879</v>
      </c>
      <c r="F187">
        <v>65973877</v>
      </c>
      <c r="G187">
        <f t="shared" si="12"/>
        <v>29.219642746183975</v>
      </c>
      <c r="H187">
        <f t="shared" si="12"/>
        <v>27.725417373735258</v>
      </c>
      <c r="I187">
        <f t="shared" si="12"/>
        <v>18.004769418609701</v>
      </c>
      <c r="J187">
        <f t="shared" si="9"/>
        <v>9.7206479551255569</v>
      </c>
      <c r="K187">
        <v>3.36788010597229</v>
      </c>
      <c r="L187">
        <v>60030</v>
      </c>
      <c r="M187">
        <f t="shared" si="10"/>
        <v>11.002599716245889</v>
      </c>
      <c r="N187" s="2">
        <v>0.91</v>
      </c>
      <c r="O187">
        <v>1.13797330856323</v>
      </c>
      <c r="P187">
        <v>1.6904761791229199</v>
      </c>
    </row>
    <row r="188" spans="1:16" x14ac:dyDescent="0.25">
      <c r="A188" t="s">
        <v>4</v>
      </c>
      <c r="B188" s="1" t="s">
        <v>31</v>
      </c>
      <c r="C188">
        <v>2015</v>
      </c>
      <c r="D188">
        <v>4444930651964.1797</v>
      </c>
      <c r="E188">
        <v>1093962293898.5857</v>
      </c>
      <c r="F188">
        <v>66061546</v>
      </c>
      <c r="G188">
        <f t="shared" si="12"/>
        <v>29.122785383414826</v>
      </c>
      <c r="H188">
        <f t="shared" si="12"/>
        <v>27.720827353062504</v>
      </c>
      <c r="I188">
        <f t="shared" si="12"/>
        <v>18.006097380620073</v>
      </c>
      <c r="J188">
        <f t="shared" si="9"/>
        <v>9.7147299724424307</v>
      </c>
      <c r="K188">
        <v>3.2407100200653098</v>
      </c>
      <c r="L188">
        <v>59882</v>
      </c>
      <c r="M188">
        <f t="shared" si="10"/>
        <v>11.000131238109393</v>
      </c>
      <c r="N188" s="2">
        <v>0.91300000000000003</v>
      </c>
      <c r="O188">
        <v>1.20364701747894</v>
      </c>
      <c r="P188">
        <v>1.53004574775696</v>
      </c>
    </row>
    <row r="189" spans="1:16" x14ac:dyDescent="0.25">
      <c r="A189" t="s">
        <v>4</v>
      </c>
      <c r="B189" s="1" t="s">
        <v>31</v>
      </c>
      <c r="C189">
        <v>2016</v>
      </c>
      <c r="D189">
        <v>5003677627544.2402</v>
      </c>
      <c r="E189">
        <v>1283005599996.9824</v>
      </c>
      <c r="F189">
        <v>66669411</v>
      </c>
      <c r="G189">
        <f t="shared" si="12"/>
        <v>29.241194283505177</v>
      </c>
      <c r="H189">
        <f t="shared" si="12"/>
        <v>27.880226566320239</v>
      </c>
      <c r="I189">
        <f t="shared" si="12"/>
        <v>18.015256799996944</v>
      </c>
      <c r="J189">
        <f t="shared" si="9"/>
        <v>9.8649697663232949</v>
      </c>
      <c r="K189">
        <v>3.1066598892211901</v>
      </c>
      <c r="L189">
        <v>58137</v>
      </c>
      <c r="M189">
        <f t="shared" si="10"/>
        <v>10.970557573194359</v>
      </c>
      <c r="N189" s="2">
        <v>0.91400000000000003</v>
      </c>
      <c r="O189">
        <v>1.41657531261444</v>
      </c>
      <c r="P189">
        <v>1.48238265514374</v>
      </c>
    </row>
    <row r="190" spans="1:16" x14ac:dyDescent="0.25">
      <c r="A190" t="s">
        <v>4</v>
      </c>
      <c r="B190" s="1" t="s">
        <v>31</v>
      </c>
      <c r="C190">
        <v>2017</v>
      </c>
      <c r="D190">
        <v>4930837369151.4219</v>
      </c>
      <c r="E190">
        <v>1280760830446.5322</v>
      </c>
      <c r="F190">
        <v>67225084</v>
      </c>
      <c r="G190">
        <f t="shared" si="12"/>
        <v>29.226529941314823</v>
      </c>
      <c r="H190">
        <f t="shared" si="12"/>
        <v>27.878475416061441</v>
      </c>
      <c r="I190">
        <f t="shared" si="12"/>
        <v>18.023557009653565</v>
      </c>
      <c r="J190">
        <f t="shared" si="9"/>
        <v>9.8549184064078759</v>
      </c>
      <c r="K190">
        <v>3.16635990142822</v>
      </c>
      <c r="L190">
        <v>58189</v>
      </c>
      <c r="M190">
        <f t="shared" si="10"/>
        <v>10.971451612419703</v>
      </c>
      <c r="N190" s="2">
        <v>0.91600000000000004</v>
      </c>
      <c r="O190">
        <v>1.3633342981338501</v>
      </c>
      <c r="P190">
        <v>1.4809068441391</v>
      </c>
    </row>
    <row r="191" spans="1:16" x14ac:dyDescent="0.25">
      <c r="A191" t="s">
        <v>4</v>
      </c>
      <c r="B191" s="1" t="s">
        <v>31</v>
      </c>
      <c r="C191">
        <v>2018</v>
      </c>
      <c r="D191">
        <v>5040880939324.8594</v>
      </c>
      <c r="E191">
        <v>1293573512847.4595</v>
      </c>
      <c r="F191">
        <v>68386819</v>
      </c>
      <c r="G191">
        <f t="shared" si="12"/>
        <v>29.248601972286494</v>
      </c>
      <c r="H191">
        <f t="shared" si="12"/>
        <v>27.888429669464323</v>
      </c>
      <c r="I191">
        <f t="shared" si="12"/>
        <v>18.040690659344484</v>
      </c>
      <c r="J191">
        <f t="shared" si="9"/>
        <v>9.8477390101198381</v>
      </c>
      <c r="K191">
        <v>3.2191998958587602</v>
      </c>
      <c r="L191">
        <v>59937</v>
      </c>
      <c r="M191">
        <f t="shared" si="10"/>
        <v>11.001049289568058</v>
      </c>
      <c r="N191" s="2">
        <v>0.91700000000000004</v>
      </c>
      <c r="O191">
        <v>1.33422780036926</v>
      </c>
      <c r="P191">
        <v>1.3886480331420901</v>
      </c>
    </row>
    <row r="192" spans="1:16" x14ac:dyDescent="0.25">
      <c r="A192" t="s">
        <v>4</v>
      </c>
      <c r="B192" s="1" t="s">
        <v>31</v>
      </c>
      <c r="C192">
        <v>2019</v>
      </c>
      <c r="D192">
        <v>5117993853016.5078</v>
      </c>
      <c r="E192">
        <v>1305104449447.4841</v>
      </c>
      <c r="F192">
        <v>69045531</v>
      </c>
      <c r="G192">
        <f t="shared" si="12"/>
        <v>29.263783652613551</v>
      </c>
      <c r="H192">
        <f t="shared" si="12"/>
        <v>27.897304191391136</v>
      </c>
      <c r="I192">
        <f t="shared" si="12"/>
        <v>18.050276714508556</v>
      </c>
      <c r="J192">
        <f t="shared" si="9"/>
        <v>9.8470274768825803</v>
      </c>
      <c r="K192">
        <v>3.2182400226593</v>
      </c>
      <c r="L192">
        <v>62597</v>
      </c>
      <c r="M192">
        <f t="shared" si="10"/>
        <v>11.044472632617147</v>
      </c>
      <c r="N192" s="2">
        <v>0.91800000000000004</v>
      </c>
      <c r="O192">
        <v>1.3146489858627299</v>
      </c>
      <c r="P192">
        <v>1.4311672449111901</v>
      </c>
    </row>
    <row r="193" spans="1:16" x14ac:dyDescent="0.25">
      <c r="A193" t="s">
        <v>4</v>
      </c>
      <c r="B193" s="1" t="s">
        <v>31</v>
      </c>
      <c r="C193">
        <v>2020</v>
      </c>
      <c r="D193">
        <v>5055587093501.5879</v>
      </c>
      <c r="E193">
        <v>1262763076596.3032</v>
      </c>
      <c r="F193">
        <v>68898380</v>
      </c>
      <c r="G193">
        <f t="shared" si="12"/>
        <v>29.251515102804817</v>
      </c>
      <c r="H193">
        <f t="shared" si="12"/>
        <v>27.864323353890374</v>
      </c>
      <c r="I193">
        <f t="shared" si="12"/>
        <v>18.048143223370747</v>
      </c>
      <c r="J193">
        <f t="shared" si="9"/>
        <v>9.8161801305196263</v>
      </c>
      <c r="K193">
        <v>3.26897001266479</v>
      </c>
      <c r="L193">
        <v>61124</v>
      </c>
      <c r="M193">
        <f t="shared" si="10"/>
        <v>11.020659866725147</v>
      </c>
      <c r="N193" s="2">
        <v>0.91700000000000004</v>
      </c>
      <c r="O193">
        <v>1.3470870256423999</v>
      </c>
      <c r="P193">
        <v>1.46393418312073</v>
      </c>
    </row>
    <row r="194" spans="1:16" x14ac:dyDescent="0.25">
      <c r="A194" t="s">
        <v>29</v>
      </c>
      <c r="B194" s="1" t="s">
        <v>87</v>
      </c>
      <c r="C194">
        <v>2005</v>
      </c>
      <c r="D194">
        <v>934901071332.98376</v>
      </c>
      <c r="E194">
        <v>325536630737.4931</v>
      </c>
      <c r="F194">
        <v>24332457</v>
      </c>
      <c r="G194">
        <f t="shared" si="12"/>
        <v>27.563706554576264</v>
      </c>
      <c r="H194">
        <f t="shared" si="12"/>
        <v>26.508740829091177</v>
      </c>
      <c r="I194">
        <f t="shared" si="12"/>
        <v>17.007321696097417</v>
      </c>
      <c r="J194">
        <f t="shared" si="9"/>
        <v>9.5014191329937603</v>
      </c>
      <c r="K194">
        <v>2.52290010452271</v>
      </c>
      <c r="L194">
        <v>38733</v>
      </c>
      <c r="M194">
        <f t="shared" si="10"/>
        <v>10.564447228842829</v>
      </c>
      <c r="N194" s="2">
        <v>0.86099999999999999</v>
      </c>
      <c r="O194">
        <v>0.80507254600524902</v>
      </c>
      <c r="P194">
        <v>0.59233289957046498</v>
      </c>
    </row>
    <row r="195" spans="1:16" x14ac:dyDescent="0.25">
      <c r="A195" t="s">
        <v>29</v>
      </c>
      <c r="B195" s="1" t="s">
        <v>87</v>
      </c>
      <c r="C195">
        <v>2006</v>
      </c>
      <c r="D195">
        <v>1053216909887.5618</v>
      </c>
      <c r="E195">
        <v>353866528835.3833</v>
      </c>
      <c r="F195">
        <v>24612208</v>
      </c>
      <c r="G195">
        <f t="shared" si="12"/>
        <v>27.682870320162767</v>
      </c>
      <c r="H195">
        <f t="shared" si="12"/>
        <v>26.592185641795609</v>
      </c>
      <c r="I195">
        <f t="shared" si="12"/>
        <v>17.01875313796884</v>
      </c>
      <c r="J195">
        <f t="shared" ref="J195:J258" si="13">H195-I195</f>
        <v>9.5734325038267691</v>
      </c>
      <c r="K195">
        <v>2.7193400859832799</v>
      </c>
      <c r="L195">
        <v>40713</v>
      </c>
      <c r="M195">
        <f t="shared" ref="M195:M258" si="14">LN(L195)</f>
        <v>10.614302730749481</v>
      </c>
      <c r="N195" s="2">
        <v>0.86599999999999999</v>
      </c>
      <c r="O195">
        <v>0.72058492898940996</v>
      </c>
      <c r="P195">
        <v>0.300606369972229</v>
      </c>
    </row>
    <row r="196" spans="1:16" x14ac:dyDescent="0.25">
      <c r="A196" t="s">
        <v>29</v>
      </c>
      <c r="B196" s="1" t="s">
        <v>87</v>
      </c>
      <c r="C196">
        <v>2007</v>
      </c>
      <c r="D196">
        <v>1172614086539.8635</v>
      </c>
      <c r="E196">
        <v>399640766879.09796</v>
      </c>
      <c r="F196">
        <v>24884098</v>
      </c>
      <c r="G196">
        <f t="shared" si="12"/>
        <v>27.790256634486294</v>
      </c>
      <c r="H196">
        <f t="shared" si="12"/>
        <v>26.713831897734163</v>
      </c>
      <c r="I196">
        <f t="shared" si="12"/>
        <v>17.029739522882881</v>
      </c>
      <c r="J196">
        <f t="shared" si="13"/>
        <v>9.6840923748512822</v>
      </c>
      <c r="K196">
        <v>2.87258005142212</v>
      </c>
      <c r="L196">
        <v>43768</v>
      </c>
      <c r="M196">
        <f t="shared" si="14"/>
        <v>10.686658235743662</v>
      </c>
      <c r="N196" s="2">
        <v>0.871</v>
      </c>
      <c r="O196">
        <v>0.92057889699935902</v>
      </c>
      <c r="P196">
        <v>0.56971693038940396</v>
      </c>
    </row>
    <row r="197" spans="1:16" x14ac:dyDescent="0.25">
      <c r="A197" t="s">
        <v>29</v>
      </c>
      <c r="B197" s="1" t="s">
        <v>87</v>
      </c>
      <c r="C197">
        <v>2008</v>
      </c>
      <c r="D197">
        <v>1047339010225.2472</v>
      </c>
      <c r="E197">
        <v>349994061050.22589</v>
      </c>
      <c r="F197">
        <v>25067295</v>
      </c>
      <c r="G197">
        <f t="shared" si="12"/>
        <v>27.677273787408822</v>
      </c>
      <c r="H197">
        <f t="shared" si="12"/>
        <v>26.58118202285798</v>
      </c>
      <c r="I197">
        <f t="shared" si="12"/>
        <v>17.037074566427162</v>
      </c>
      <c r="J197">
        <f t="shared" si="13"/>
        <v>9.5441074564308188</v>
      </c>
      <c r="K197">
        <v>2.9888699054718</v>
      </c>
      <c r="L197">
        <v>43518</v>
      </c>
      <c r="M197">
        <f t="shared" si="14"/>
        <v>10.680929924591467</v>
      </c>
      <c r="N197" s="2">
        <v>0.874</v>
      </c>
      <c r="O197">
        <v>0.72582358121871904</v>
      </c>
      <c r="P197">
        <v>0.42582508921623202</v>
      </c>
    </row>
    <row r="198" spans="1:16" x14ac:dyDescent="0.25">
      <c r="A198" t="s">
        <v>29</v>
      </c>
      <c r="B198" s="1" t="s">
        <v>87</v>
      </c>
      <c r="C198">
        <v>2009</v>
      </c>
      <c r="D198">
        <v>943941876218.74329</v>
      </c>
      <c r="E198">
        <v>317814993774.13013</v>
      </c>
      <c r="F198">
        <v>25091241</v>
      </c>
      <c r="G198">
        <f t="shared" si="12"/>
        <v>27.573330429394112</v>
      </c>
      <c r="H198">
        <f t="shared" si="12"/>
        <v>26.484735269842101</v>
      </c>
      <c r="I198">
        <f t="shared" si="12"/>
        <v>17.038029379056429</v>
      </c>
      <c r="J198">
        <f t="shared" si="13"/>
        <v>9.4467058907856725</v>
      </c>
      <c r="K198">
        <v>3.14668989181519</v>
      </c>
      <c r="L198">
        <v>36207</v>
      </c>
      <c r="M198">
        <f t="shared" si="14"/>
        <v>10.497007749286007</v>
      </c>
      <c r="N198" s="2">
        <v>0.876</v>
      </c>
      <c r="O198">
        <v>0.84930628538131703</v>
      </c>
      <c r="P198">
        <v>0.49974241852760298</v>
      </c>
    </row>
    <row r="199" spans="1:16" x14ac:dyDescent="0.25">
      <c r="A199" t="s">
        <v>29</v>
      </c>
      <c r="B199" s="1" t="s">
        <v>87</v>
      </c>
      <c r="C199">
        <v>2010</v>
      </c>
      <c r="D199">
        <v>1143672241149.7156</v>
      </c>
      <c r="E199">
        <v>404402400428.89508</v>
      </c>
      <c r="F199">
        <v>25419751</v>
      </c>
      <c r="G199">
        <f t="shared" si="12"/>
        <v>27.765265465344967</v>
      </c>
      <c r="H199">
        <f t="shared" si="12"/>
        <v>26.725676259853785</v>
      </c>
      <c r="I199">
        <f t="shared" si="12"/>
        <v>17.051037028240941</v>
      </c>
      <c r="J199">
        <f t="shared" si="13"/>
        <v>9.6746392316128436</v>
      </c>
      <c r="K199">
        <v>3.3157799243927002</v>
      </c>
      <c r="L199">
        <v>38296</v>
      </c>
      <c r="M199">
        <f t="shared" si="14"/>
        <v>10.553100731072345</v>
      </c>
      <c r="N199" s="2">
        <v>0.89</v>
      </c>
      <c r="O199">
        <v>0.91837137937545799</v>
      </c>
      <c r="P199">
        <v>0.42665672302246099</v>
      </c>
    </row>
    <row r="200" spans="1:16" x14ac:dyDescent="0.25">
      <c r="A200" t="s">
        <v>29</v>
      </c>
      <c r="B200" s="1" t="s">
        <v>87</v>
      </c>
      <c r="C200">
        <v>2011</v>
      </c>
      <c r="D200">
        <v>1253289537500.8132</v>
      </c>
      <c r="E200">
        <v>431489651141.14508</v>
      </c>
      <c r="F200">
        <v>25870939</v>
      </c>
      <c r="G200">
        <f t="shared" si="12"/>
        <v>27.856792840568311</v>
      </c>
      <c r="H200">
        <f t="shared" si="12"/>
        <v>26.790509363731868</v>
      </c>
      <c r="I200">
        <f t="shared" si="12"/>
        <v>17.068630850372458</v>
      </c>
      <c r="J200">
        <f t="shared" si="13"/>
        <v>9.7218785133594103</v>
      </c>
      <c r="K200">
        <v>3.59198999404907</v>
      </c>
      <c r="L200">
        <v>40890</v>
      </c>
      <c r="M200">
        <f t="shared" si="14"/>
        <v>10.618640813358688</v>
      </c>
      <c r="N200" s="2">
        <v>0.89500000000000002</v>
      </c>
      <c r="O200">
        <v>0.98229324817657504</v>
      </c>
      <c r="P200">
        <v>0.48332247138023399</v>
      </c>
    </row>
    <row r="201" spans="1:16" x14ac:dyDescent="0.25">
      <c r="A201" t="s">
        <v>29</v>
      </c>
      <c r="B201" s="1" t="s">
        <v>87</v>
      </c>
      <c r="C201">
        <v>2012</v>
      </c>
      <c r="D201">
        <v>1278046536287.0134</v>
      </c>
      <c r="E201">
        <v>435129201840.91907</v>
      </c>
      <c r="F201">
        <v>26269374</v>
      </c>
      <c r="G201">
        <f t="shared" si="12"/>
        <v>27.876353884591062</v>
      </c>
      <c r="H201">
        <f t="shared" si="12"/>
        <v>26.798908839660907</v>
      </c>
      <c r="I201">
        <f t="shared" si="12"/>
        <v>17.083914331914531</v>
      </c>
      <c r="J201">
        <f t="shared" si="13"/>
        <v>9.7149945077463755</v>
      </c>
      <c r="K201">
        <v>3.8503999710082999</v>
      </c>
      <c r="L201">
        <v>40779</v>
      </c>
      <c r="M201">
        <f t="shared" si="14"/>
        <v>10.615922522003357</v>
      </c>
      <c r="N201" s="2">
        <v>0.89700000000000002</v>
      </c>
      <c r="O201">
        <v>0.86539107561111495</v>
      </c>
      <c r="P201">
        <v>0.49588224291801503</v>
      </c>
    </row>
    <row r="202" spans="1:16" x14ac:dyDescent="0.25">
      <c r="A202" t="s">
        <v>29</v>
      </c>
      <c r="B202" s="1" t="s">
        <v>87</v>
      </c>
      <c r="C202">
        <v>2013</v>
      </c>
      <c r="D202">
        <v>1370632955321.2036</v>
      </c>
      <c r="E202">
        <v>473106373846.15735</v>
      </c>
      <c r="F202">
        <v>26634430</v>
      </c>
      <c r="G202">
        <f t="shared" si="12"/>
        <v>27.946293760257635</v>
      </c>
      <c r="H202">
        <f t="shared" si="12"/>
        <v>26.882586092006303</v>
      </c>
      <c r="I202">
        <f t="shared" si="12"/>
        <v>17.097715297691256</v>
      </c>
      <c r="J202">
        <f t="shared" si="13"/>
        <v>9.7848707943150472</v>
      </c>
      <c r="K202">
        <v>3.9512400627136199</v>
      </c>
      <c r="L202">
        <v>44611</v>
      </c>
      <c r="M202">
        <f t="shared" si="14"/>
        <v>10.705735744369607</v>
      </c>
      <c r="N202" s="2">
        <v>0.90200000000000002</v>
      </c>
      <c r="O202">
        <v>0.98861199617385898</v>
      </c>
      <c r="P202">
        <v>0.58115518093109098</v>
      </c>
    </row>
    <row r="203" spans="1:16" x14ac:dyDescent="0.25">
      <c r="A203" t="s">
        <v>29</v>
      </c>
      <c r="B203" s="1" t="s">
        <v>87</v>
      </c>
      <c r="C203">
        <v>2014</v>
      </c>
      <c r="D203">
        <v>1484488526271.7983</v>
      </c>
      <c r="E203">
        <v>517179153527.60156</v>
      </c>
      <c r="F203">
        <v>27387622</v>
      </c>
      <c r="G203">
        <f t="shared" si="12"/>
        <v>28.026091402101695</v>
      </c>
      <c r="H203">
        <f t="shared" si="12"/>
        <v>26.971655176627305</v>
      </c>
      <c r="I203">
        <f t="shared" si="12"/>
        <v>17.125601717462885</v>
      </c>
      <c r="J203">
        <f t="shared" si="13"/>
        <v>9.8460534591644198</v>
      </c>
      <c r="K203">
        <v>4.07785987854004</v>
      </c>
      <c r="L203">
        <v>46219</v>
      </c>
      <c r="M203">
        <f t="shared" si="14"/>
        <v>10.741146247938758</v>
      </c>
      <c r="N203" s="2">
        <v>0.90600000000000003</v>
      </c>
      <c r="O203">
        <v>1.1340370178222701</v>
      </c>
      <c r="P203">
        <v>0.51229375600814797</v>
      </c>
    </row>
    <row r="204" spans="1:16" x14ac:dyDescent="0.25">
      <c r="A204" t="s">
        <v>29</v>
      </c>
      <c r="B204" s="1" t="s">
        <v>87</v>
      </c>
      <c r="C204">
        <v>2015</v>
      </c>
      <c r="D204">
        <v>1466038936206.4277</v>
      </c>
      <c r="E204">
        <v>533285084917.35944</v>
      </c>
      <c r="F204">
        <v>27788180</v>
      </c>
      <c r="G204">
        <f t="shared" si="12"/>
        <v>28.013585278526278</v>
      </c>
      <c r="H204">
        <f t="shared" si="12"/>
        <v>27.002321986633948</v>
      </c>
      <c r="I204">
        <f t="shared" si="12"/>
        <v>17.140121308390167</v>
      </c>
      <c r="J204">
        <f t="shared" si="13"/>
        <v>9.8622006782437808</v>
      </c>
      <c r="K204">
        <v>3.97819995880127</v>
      </c>
      <c r="L204">
        <v>46419</v>
      </c>
      <c r="M204">
        <f t="shared" si="14"/>
        <v>10.745464137157782</v>
      </c>
      <c r="N204" s="2">
        <v>0.90800000000000003</v>
      </c>
      <c r="O204">
        <v>1.0993340015411399</v>
      </c>
      <c r="P204">
        <v>0.34004557132720897</v>
      </c>
    </row>
    <row r="205" spans="1:16" x14ac:dyDescent="0.25">
      <c r="A205" t="s">
        <v>29</v>
      </c>
      <c r="B205" s="1" t="s">
        <v>87</v>
      </c>
      <c r="C205">
        <v>2016</v>
      </c>
      <c r="D205">
        <v>1499679823909.6116</v>
      </c>
      <c r="E205">
        <v>551944812376.29419</v>
      </c>
      <c r="F205">
        <v>28041851</v>
      </c>
      <c r="G205">
        <f t="shared" si="12"/>
        <v>28.036272750525939</v>
      </c>
      <c r="H205">
        <f t="shared" si="12"/>
        <v>27.036713900646237</v>
      </c>
      <c r="I205">
        <f t="shared" si="12"/>
        <v>17.149208630790714</v>
      </c>
      <c r="J205">
        <f t="shared" si="13"/>
        <v>9.8875052698555237</v>
      </c>
      <c r="K205">
        <v>3.9870400428771999</v>
      </c>
      <c r="L205">
        <v>45406</v>
      </c>
      <c r="M205">
        <f t="shared" si="14"/>
        <v>10.723399533887571</v>
      </c>
      <c r="N205" s="2">
        <v>0.91200000000000003</v>
      </c>
      <c r="O205">
        <v>1.1026177406311</v>
      </c>
      <c r="P205">
        <v>0.420738995075226</v>
      </c>
    </row>
    <row r="206" spans="1:16" x14ac:dyDescent="0.25">
      <c r="A206" t="s">
        <v>29</v>
      </c>
      <c r="B206" s="1" t="s">
        <v>87</v>
      </c>
      <c r="C206">
        <v>2017</v>
      </c>
      <c r="D206">
        <v>1623074183501.9038</v>
      </c>
      <c r="E206">
        <v>601114517337.21143</v>
      </c>
      <c r="F206">
        <v>28349693</v>
      </c>
      <c r="G206">
        <f t="shared" si="12"/>
        <v>28.115343111057786</v>
      </c>
      <c r="H206">
        <f t="shared" si="12"/>
        <v>27.122051297984555</v>
      </c>
      <c r="I206">
        <f t="shared" si="12"/>
        <v>17.16012675915524</v>
      </c>
      <c r="J206">
        <f t="shared" si="13"/>
        <v>9.9619245388293152</v>
      </c>
      <c r="K206">
        <v>4.2920598983764604</v>
      </c>
      <c r="L206">
        <v>45691</v>
      </c>
      <c r="M206">
        <f t="shared" si="14"/>
        <v>10.729656620945079</v>
      </c>
      <c r="N206" s="2">
        <v>0.91500000000000004</v>
      </c>
      <c r="O206">
        <v>1.09427738189697</v>
      </c>
      <c r="P206">
        <v>0.44579449295997597</v>
      </c>
    </row>
    <row r="207" spans="1:16" x14ac:dyDescent="0.25">
      <c r="A207" t="s">
        <v>29</v>
      </c>
      <c r="B207" s="1" t="s">
        <v>87</v>
      </c>
      <c r="C207">
        <v>2018</v>
      </c>
      <c r="D207">
        <v>1725373496825.426</v>
      </c>
      <c r="E207">
        <v>619838709398.86841</v>
      </c>
      <c r="F207">
        <v>28513895</v>
      </c>
      <c r="G207">
        <f t="shared" si="12"/>
        <v>28.17646466287362</v>
      </c>
      <c r="H207">
        <f t="shared" si="12"/>
        <v>27.152725135010815</v>
      </c>
      <c r="I207">
        <f t="shared" si="12"/>
        <v>17.165902070287636</v>
      </c>
      <c r="J207">
        <f t="shared" si="13"/>
        <v>9.986823064723179</v>
      </c>
      <c r="K207">
        <v>4.5163297653198198</v>
      </c>
      <c r="L207">
        <v>47431</v>
      </c>
      <c r="M207">
        <f t="shared" si="14"/>
        <v>10.767031302351667</v>
      </c>
      <c r="N207" s="2">
        <v>0.91800000000000004</v>
      </c>
      <c r="O207">
        <v>1.09374976158142</v>
      </c>
      <c r="P207">
        <v>0.57312136888503995</v>
      </c>
    </row>
    <row r="208" spans="1:16" x14ac:dyDescent="0.25">
      <c r="A208" t="s">
        <v>29</v>
      </c>
      <c r="B208" s="1" t="s">
        <v>87</v>
      </c>
      <c r="C208">
        <v>2019</v>
      </c>
      <c r="D208">
        <v>1651422932447.7681</v>
      </c>
      <c r="E208">
        <v>566264944448.37744</v>
      </c>
      <c r="F208">
        <v>28808833</v>
      </c>
      <c r="G208">
        <f t="shared" si="12"/>
        <v>28.132658415503883</v>
      </c>
      <c r="H208">
        <f t="shared" si="12"/>
        <v>27.062327905357208</v>
      </c>
      <c r="I208">
        <f t="shared" si="12"/>
        <v>17.176192599471808</v>
      </c>
      <c r="J208">
        <f t="shared" si="13"/>
        <v>9.8861353058854</v>
      </c>
      <c r="K208">
        <v>4.6270298957824698</v>
      </c>
      <c r="L208">
        <v>47372</v>
      </c>
      <c r="M208">
        <f t="shared" si="14"/>
        <v>10.765786615841385</v>
      </c>
      <c r="N208" s="2">
        <v>0.92200000000000004</v>
      </c>
      <c r="O208">
        <v>1.05925858020782</v>
      </c>
      <c r="P208">
        <v>0.70507752895355202</v>
      </c>
    </row>
    <row r="209" spans="1:16" x14ac:dyDescent="0.25">
      <c r="A209" t="s">
        <v>29</v>
      </c>
      <c r="B209" s="1" t="s">
        <v>87</v>
      </c>
      <c r="C209">
        <v>2020</v>
      </c>
      <c r="D209">
        <v>1644312831906.1692</v>
      </c>
      <c r="E209">
        <v>584877491154.9585</v>
      </c>
      <c r="F209">
        <v>28597159</v>
      </c>
      <c r="G209">
        <f t="shared" si="12"/>
        <v>28.128343681507801</v>
      </c>
      <c r="H209">
        <f t="shared" si="12"/>
        <v>27.094668245418372</v>
      </c>
      <c r="I209">
        <f t="shared" si="12"/>
        <v>17.168817935191633</v>
      </c>
      <c r="J209">
        <f t="shared" si="13"/>
        <v>9.925850310226739</v>
      </c>
      <c r="K209">
        <v>4.7957100868225098</v>
      </c>
      <c r="L209">
        <v>46282</v>
      </c>
      <c r="M209">
        <f t="shared" si="14"/>
        <v>10.742508395585617</v>
      </c>
      <c r="N209" s="2">
        <v>0.92200000000000004</v>
      </c>
      <c r="O209">
        <v>1.0249507427215601</v>
      </c>
      <c r="P209">
        <v>0.69843655824661299</v>
      </c>
    </row>
    <row r="210" spans="1:16" x14ac:dyDescent="0.25">
      <c r="A210" t="s">
        <v>55</v>
      </c>
      <c r="B210" s="1" t="s">
        <v>106</v>
      </c>
      <c r="C210">
        <v>2005</v>
      </c>
      <c r="D210">
        <v>17003459863.098942</v>
      </c>
      <c r="E210">
        <v>3530166770.3795896</v>
      </c>
      <c r="F210">
        <v>1094452</v>
      </c>
      <c r="G210">
        <f t="shared" si="12"/>
        <v>23.556682681653726</v>
      </c>
      <c r="H210">
        <f t="shared" si="12"/>
        <v>21.984610950509261</v>
      </c>
      <c r="I210">
        <f t="shared" si="12"/>
        <v>13.905764339341522</v>
      </c>
      <c r="J210">
        <f t="shared" si="13"/>
        <v>8.0788466111677391</v>
      </c>
      <c r="K210">
        <v>0.52706998586654696</v>
      </c>
      <c r="L210">
        <v>57</v>
      </c>
      <c r="M210">
        <f t="shared" si="14"/>
        <v>4.0430512678345503</v>
      </c>
      <c r="N210" s="2">
        <v>0.81499999999999995</v>
      </c>
      <c r="O210">
        <v>0.87448990345001198</v>
      </c>
      <c r="P210">
        <v>0.36734083294868503</v>
      </c>
    </row>
    <row r="211" spans="1:16" x14ac:dyDescent="0.25">
      <c r="A211" t="s">
        <v>55</v>
      </c>
      <c r="B211" s="1" t="s">
        <v>106</v>
      </c>
      <c r="C211">
        <v>2006</v>
      </c>
      <c r="D211">
        <v>21570076498.620518</v>
      </c>
      <c r="E211">
        <v>4137278655.6308002</v>
      </c>
      <c r="F211">
        <v>1121857</v>
      </c>
      <c r="G211">
        <f t="shared" si="12"/>
        <v>23.794572843869723</v>
      </c>
      <c r="H211">
        <f t="shared" si="12"/>
        <v>22.143304079090061</v>
      </c>
      <c r="I211">
        <f t="shared" si="12"/>
        <v>13.93049590596182</v>
      </c>
      <c r="J211">
        <f t="shared" si="13"/>
        <v>8.2128081731282414</v>
      </c>
      <c r="K211">
        <v>0.64691001176834095</v>
      </c>
      <c r="L211">
        <v>37</v>
      </c>
      <c r="M211">
        <f t="shared" si="14"/>
        <v>3.6109179126442243</v>
      </c>
      <c r="N211" s="2">
        <v>0.82099999999999995</v>
      </c>
      <c r="O211">
        <v>0.93378043174743697</v>
      </c>
      <c r="P211">
        <v>0.35672354698181202</v>
      </c>
    </row>
    <row r="212" spans="1:16" x14ac:dyDescent="0.25">
      <c r="A212" t="s">
        <v>55</v>
      </c>
      <c r="B212" s="1" t="s">
        <v>106</v>
      </c>
      <c r="C212">
        <v>2007</v>
      </c>
      <c r="D212">
        <v>31054350977.97839</v>
      </c>
      <c r="E212">
        <v>6990209273.6971693</v>
      </c>
      <c r="F212">
        <v>1137565</v>
      </c>
      <c r="G212">
        <f t="shared" si="12"/>
        <v>24.159004763624118</v>
      </c>
      <c r="H212">
        <f t="shared" si="12"/>
        <v>22.667776331756436</v>
      </c>
      <c r="I212">
        <f t="shared" si="12"/>
        <v>13.944400571031794</v>
      </c>
      <c r="J212">
        <f t="shared" si="13"/>
        <v>8.7233757607246414</v>
      </c>
      <c r="K212">
        <v>0.55106997489929199</v>
      </c>
      <c r="L212">
        <v>8</v>
      </c>
      <c r="M212">
        <f t="shared" si="14"/>
        <v>2.0794415416798357</v>
      </c>
      <c r="N212" s="2">
        <v>0.82499999999999996</v>
      </c>
      <c r="O212">
        <v>0.95482730865478505</v>
      </c>
      <c r="P212">
        <v>0.33847442269325301</v>
      </c>
    </row>
    <row r="213" spans="1:16" x14ac:dyDescent="0.25">
      <c r="A213" t="s">
        <v>55</v>
      </c>
      <c r="B213" s="1" t="s">
        <v>106</v>
      </c>
      <c r="C213">
        <v>2008</v>
      </c>
      <c r="D213">
        <v>35854274228.913902</v>
      </c>
      <c r="E213">
        <v>8106598450.5189295</v>
      </c>
      <c r="F213">
        <v>1150923</v>
      </c>
      <c r="G213">
        <f t="shared" si="12"/>
        <v>24.302728622238511</v>
      </c>
      <c r="H213">
        <f t="shared" si="12"/>
        <v>22.815944190520007</v>
      </c>
      <c r="I213">
        <f t="shared" si="12"/>
        <v>13.956074787116965</v>
      </c>
      <c r="J213">
        <f t="shared" si="13"/>
        <v>8.8598694034030423</v>
      </c>
      <c r="K213">
        <v>0.57719999551773105</v>
      </c>
      <c r="L213">
        <v>9</v>
      </c>
      <c r="M213">
        <f t="shared" si="14"/>
        <v>2.1972245773362196</v>
      </c>
      <c r="N213" s="2">
        <v>0.83199999999999996</v>
      </c>
      <c r="O213">
        <v>0.96638745069503795</v>
      </c>
      <c r="P213">
        <v>0.23015426099300401</v>
      </c>
    </row>
    <row r="214" spans="1:16" x14ac:dyDescent="0.25">
      <c r="A214" t="s">
        <v>55</v>
      </c>
      <c r="B214" s="1" t="s">
        <v>106</v>
      </c>
      <c r="C214">
        <v>2009</v>
      </c>
      <c r="D214">
        <v>26410909090.909088</v>
      </c>
      <c r="E214">
        <v>5401619405.0597715</v>
      </c>
      <c r="F214">
        <v>1105823</v>
      </c>
      <c r="G214">
        <f t="shared" si="12"/>
        <v>23.997042984886008</v>
      </c>
      <c r="H214">
        <f t="shared" si="12"/>
        <v>22.409964635384558</v>
      </c>
      <c r="I214">
        <f t="shared" si="12"/>
        <v>13.916100412090898</v>
      </c>
      <c r="J214">
        <f t="shared" si="13"/>
        <v>8.4938642232936594</v>
      </c>
      <c r="K214">
        <v>0.44857999682426503</v>
      </c>
      <c r="L214">
        <v>3</v>
      </c>
      <c r="M214">
        <f t="shared" si="14"/>
        <v>1.0986122886681098</v>
      </c>
      <c r="N214" s="2">
        <v>0.83099999999999996</v>
      </c>
      <c r="O214">
        <v>0.92265832424163796</v>
      </c>
      <c r="P214">
        <v>0.202161014080048</v>
      </c>
    </row>
    <row r="215" spans="1:16" x14ac:dyDescent="0.25">
      <c r="A215" t="s">
        <v>55</v>
      </c>
      <c r="B215" s="1" t="s">
        <v>106</v>
      </c>
      <c r="C215">
        <v>2010</v>
      </c>
      <c r="D215">
        <v>23956163076.55748</v>
      </c>
      <c r="E215">
        <v>4373412458.8180227</v>
      </c>
      <c r="F215">
        <v>1059977</v>
      </c>
      <c r="G215">
        <f t="shared" si="12"/>
        <v>23.899491458662137</v>
      </c>
      <c r="H215">
        <f t="shared" si="12"/>
        <v>22.198809424348109</v>
      </c>
      <c r="I215">
        <f t="shared" si="12"/>
        <v>13.873757767739635</v>
      </c>
      <c r="J215">
        <f t="shared" si="13"/>
        <v>8.3250516566084745</v>
      </c>
      <c r="K215">
        <v>0.605710029602051</v>
      </c>
      <c r="L215">
        <v>7</v>
      </c>
      <c r="M215">
        <f t="shared" si="14"/>
        <v>1.9459101490553132</v>
      </c>
      <c r="N215" s="2">
        <v>0.82699999999999996</v>
      </c>
      <c r="O215">
        <v>0.92853248119354204</v>
      </c>
      <c r="P215">
        <v>0.203808978199959</v>
      </c>
    </row>
    <row r="216" spans="1:16" x14ac:dyDescent="0.25">
      <c r="A216" t="s">
        <v>55</v>
      </c>
      <c r="B216" s="1" t="s">
        <v>106</v>
      </c>
      <c r="C216">
        <v>2011</v>
      </c>
      <c r="D216">
        <v>27474380566.265041</v>
      </c>
      <c r="E216">
        <v>5449086498.4073</v>
      </c>
      <c r="F216">
        <v>1033395</v>
      </c>
      <c r="G216">
        <f t="shared" si="12"/>
        <v>24.036519791623075</v>
      </c>
      <c r="H216">
        <f t="shared" si="12"/>
        <v>22.418713816601468</v>
      </c>
      <c r="I216">
        <f t="shared" si="12"/>
        <v>13.848360056425994</v>
      </c>
      <c r="J216">
        <f t="shared" si="13"/>
        <v>8.5703537601754736</v>
      </c>
      <c r="K216">
        <v>0.71561998128891002</v>
      </c>
      <c r="L216">
        <v>10</v>
      </c>
      <c r="M216">
        <f t="shared" si="14"/>
        <v>2.3025850929940459</v>
      </c>
      <c r="N216" s="2">
        <v>0.83299999999999996</v>
      </c>
      <c r="O216">
        <v>0.95488691329956099</v>
      </c>
      <c r="P216">
        <v>0.27934372425079301</v>
      </c>
    </row>
    <row r="217" spans="1:16" x14ac:dyDescent="0.25">
      <c r="A217" t="s">
        <v>55</v>
      </c>
      <c r="B217" s="1" t="s">
        <v>106</v>
      </c>
      <c r="C217">
        <v>2012</v>
      </c>
      <c r="D217">
        <v>28169902669.378365</v>
      </c>
      <c r="E217">
        <v>6248193472.4533587</v>
      </c>
      <c r="F217">
        <v>1039903</v>
      </c>
      <c r="G217">
        <f t="shared" si="12"/>
        <v>24.061519963712584</v>
      </c>
      <c r="H217">
        <f t="shared" si="12"/>
        <v>22.555558214505872</v>
      </c>
      <c r="I217">
        <f t="shared" si="12"/>
        <v>13.85463799753694</v>
      </c>
      <c r="J217">
        <f t="shared" si="13"/>
        <v>8.7009202169689317</v>
      </c>
      <c r="K217">
        <v>0.66307002305984497</v>
      </c>
      <c r="L217">
        <v>12</v>
      </c>
      <c r="M217">
        <f t="shared" si="14"/>
        <v>2.4849066497880004</v>
      </c>
      <c r="N217" s="2">
        <v>0.83699999999999997</v>
      </c>
      <c r="O217">
        <v>1.01062679290771</v>
      </c>
      <c r="P217">
        <v>0.23822313547134399</v>
      </c>
    </row>
    <row r="218" spans="1:16" x14ac:dyDescent="0.25">
      <c r="A218" t="s">
        <v>55</v>
      </c>
      <c r="B218" s="1" t="s">
        <v>106</v>
      </c>
      <c r="C218">
        <v>2013</v>
      </c>
      <c r="D218">
        <v>30204783461.848808</v>
      </c>
      <c r="E218">
        <v>6035608553.3613243</v>
      </c>
      <c r="F218">
        <v>1021195</v>
      </c>
      <c r="G218">
        <f t="shared" si="12"/>
        <v>24.131266141560875</v>
      </c>
      <c r="H218">
        <f t="shared" si="12"/>
        <v>22.520942523754552</v>
      </c>
      <c r="I218">
        <f t="shared" si="12"/>
        <v>13.836484068136931</v>
      </c>
      <c r="J218">
        <f t="shared" si="13"/>
        <v>8.6844584556176212</v>
      </c>
      <c r="K218">
        <v>0.61321002244949296</v>
      </c>
      <c r="L218">
        <v>8</v>
      </c>
      <c r="M218">
        <f t="shared" si="14"/>
        <v>2.0794415416798357</v>
      </c>
      <c r="N218" s="2">
        <v>0.84599999999999997</v>
      </c>
      <c r="O218">
        <v>1.03710293769836</v>
      </c>
      <c r="P218">
        <v>0.32152447104454002</v>
      </c>
    </row>
    <row r="219" spans="1:16" x14ac:dyDescent="0.25">
      <c r="A219" t="s">
        <v>55</v>
      </c>
      <c r="B219" s="1" t="s">
        <v>106</v>
      </c>
      <c r="C219">
        <v>2014</v>
      </c>
      <c r="D219">
        <v>31386896487.040672</v>
      </c>
      <c r="E219">
        <v>6557628663.4603691</v>
      </c>
      <c r="F219">
        <v>1006638</v>
      </c>
      <c r="G219">
        <f t="shared" si="12"/>
        <v>24.169656333432933</v>
      </c>
      <c r="H219">
        <f t="shared" si="12"/>
        <v>22.603894890322632</v>
      </c>
      <c r="I219">
        <f t="shared" si="12"/>
        <v>13.822126623456278</v>
      </c>
      <c r="J219">
        <f t="shared" si="13"/>
        <v>8.7817682668663544</v>
      </c>
      <c r="K219">
        <v>0.68907999992370605</v>
      </c>
      <c r="L219">
        <v>4</v>
      </c>
      <c r="M219">
        <f t="shared" si="14"/>
        <v>1.3862943611198906</v>
      </c>
      <c r="N219" s="2">
        <v>0.85</v>
      </c>
      <c r="O219">
        <v>1.1667453050613401</v>
      </c>
      <c r="P219">
        <v>0.410171538591385</v>
      </c>
    </row>
    <row r="220" spans="1:16" x14ac:dyDescent="0.25">
      <c r="A220" t="s">
        <v>55</v>
      </c>
      <c r="B220" s="1" t="s">
        <v>106</v>
      </c>
      <c r="C220">
        <v>2015</v>
      </c>
      <c r="D220">
        <v>27263090547.061707</v>
      </c>
      <c r="E220">
        <v>6013281379.4519501</v>
      </c>
      <c r="F220">
        <v>1009906</v>
      </c>
      <c r="G220">
        <f t="shared" si="12"/>
        <v>24.028799629754882</v>
      </c>
      <c r="H220">
        <f t="shared" si="12"/>
        <v>22.517236423094737</v>
      </c>
      <c r="I220">
        <f t="shared" si="12"/>
        <v>13.825367815179295</v>
      </c>
      <c r="J220">
        <f t="shared" si="13"/>
        <v>8.6918686079154419</v>
      </c>
      <c r="K220">
        <v>0.61940002441406194</v>
      </c>
      <c r="L220">
        <v>1</v>
      </c>
      <c r="M220">
        <f t="shared" si="14"/>
        <v>0</v>
      </c>
      <c r="N220" s="2">
        <v>0.85299999999999998</v>
      </c>
      <c r="O220">
        <v>1.0748200416564899</v>
      </c>
      <c r="P220">
        <v>0.43438395857811002</v>
      </c>
    </row>
    <row r="221" spans="1:16" x14ac:dyDescent="0.25">
      <c r="A221" t="s">
        <v>55</v>
      </c>
      <c r="B221" s="1" t="s">
        <v>106</v>
      </c>
      <c r="C221">
        <v>2016</v>
      </c>
      <c r="D221">
        <v>28083597512.484116</v>
      </c>
      <c r="E221">
        <v>6029080981.9225826</v>
      </c>
      <c r="F221">
        <v>1004171</v>
      </c>
      <c r="G221">
        <f t="shared" si="12"/>
        <v>24.058451524439256</v>
      </c>
      <c r="H221">
        <f t="shared" si="12"/>
        <v>22.519860428428917</v>
      </c>
      <c r="I221">
        <f t="shared" si="12"/>
        <v>13.819672883456324</v>
      </c>
      <c r="J221">
        <f t="shared" si="13"/>
        <v>8.7001875449725929</v>
      </c>
      <c r="K221">
        <v>0.43514001369476302</v>
      </c>
      <c r="L221">
        <v>18</v>
      </c>
      <c r="M221">
        <f t="shared" si="14"/>
        <v>2.8903717578961645</v>
      </c>
      <c r="N221" s="2">
        <v>0.85799999999999998</v>
      </c>
      <c r="O221">
        <v>1.06869256496429</v>
      </c>
      <c r="P221">
        <v>0.39603301882743802</v>
      </c>
    </row>
    <row r="222" spans="1:16" x14ac:dyDescent="0.25">
      <c r="A222" t="s">
        <v>55</v>
      </c>
      <c r="B222" s="1" t="s">
        <v>106</v>
      </c>
      <c r="C222">
        <v>2017</v>
      </c>
      <c r="D222">
        <v>30483806017.831818</v>
      </c>
      <c r="E222">
        <v>6505074749.543541</v>
      </c>
      <c r="F222">
        <v>999649</v>
      </c>
      <c r="G222">
        <f t="shared" si="12"/>
        <v>24.140461429320766</v>
      </c>
      <c r="H222">
        <f t="shared" si="12"/>
        <v>22.595848439935335</v>
      </c>
      <c r="I222">
        <f t="shared" si="12"/>
        <v>13.815159496349356</v>
      </c>
      <c r="J222">
        <f t="shared" si="13"/>
        <v>8.7806889435859787</v>
      </c>
      <c r="K222">
        <v>0.51103997230529796</v>
      </c>
      <c r="L222">
        <v>7</v>
      </c>
      <c r="M222">
        <f t="shared" si="14"/>
        <v>1.9459101490553132</v>
      </c>
      <c r="N222" s="2">
        <v>0.86299999999999999</v>
      </c>
      <c r="O222">
        <v>1.14457130432129</v>
      </c>
      <c r="P222">
        <v>0.50109958648681596</v>
      </c>
    </row>
    <row r="223" spans="1:16" x14ac:dyDescent="0.25">
      <c r="A223" t="s">
        <v>55</v>
      </c>
      <c r="B223" s="1" t="s">
        <v>106</v>
      </c>
      <c r="C223">
        <v>2018</v>
      </c>
      <c r="D223">
        <v>34429023435.021149</v>
      </c>
      <c r="E223">
        <v>7746782879.0494061</v>
      </c>
      <c r="F223">
        <v>1000243</v>
      </c>
      <c r="G223">
        <f t="shared" si="12"/>
        <v>24.262165750113613</v>
      </c>
      <c r="H223">
        <f t="shared" si="12"/>
        <v>22.77054348174795</v>
      </c>
      <c r="I223">
        <f t="shared" si="12"/>
        <v>13.815753528444557</v>
      </c>
      <c r="J223">
        <f t="shared" si="13"/>
        <v>8.9547899533033934</v>
      </c>
      <c r="K223">
        <v>0.63868999481201205</v>
      </c>
      <c r="L223">
        <v>24</v>
      </c>
      <c r="M223">
        <f t="shared" si="14"/>
        <v>3.1780538303479458</v>
      </c>
      <c r="N223" s="2">
        <v>0.86799999999999999</v>
      </c>
      <c r="O223">
        <v>1.13444352149963</v>
      </c>
      <c r="P223">
        <v>0.29780510067939803</v>
      </c>
    </row>
    <row r="224" spans="1:16" x14ac:dyDescent="0.25">
      <c r="A224" t="s">
        <v>55</v>
      </c>
      <c r="B224" s="1" t="s">
        <v>106</v>
      </c>
      <c r="C224">
        <v>2019</v>
      </c>
      <c r="D224">
        <v>34225547537.074455</v>
      </c>
      <c r="E224">
        <v>7571570324.956851</v>
      </c>
      <c r="F224">
        <v>988868</v>
      </c>
      <c r="G224">
        <f t="shared" si="12"/>
        <v>24.256238206154372</v>
      </c>
      <c r="H224">
        <f t="shared" si="12"/>
        <v>22.747666323432075</v>
      </c>
      <c r="I224">
        <f t="shared" si="12"/>
        <v>13.804316133547538</v>
      </c>
      <c r="J224">
        <f t="shared" si="13"/>
        <v>8.9433501898845371</v>
      </c>
      <c r="K224">
        <v>0.63626998662948597</v>
      </c>
      <c r="L224">
        <v>5</v>
      </c>
      <c r="M224">
        <f t="shared" si="14"/>
        <v>1.6094379124341003</v>
      </c>
      <c r="N224" s="2">
        <v>0.873</v>
      </c>
      <c r="O224">
        <v>1.1824791431427</v>
      </c>
      <c r="P224">
        <v>0.480807155370712</v>
      </c>
    </row>
    <row r="225" spans="1:16" x14ac:dyDescent="0.25">
      <c r="A225" t="s">
        <v>55</v>
      </c>
      <c r="B225" s="1" t="s">
        <v>106</v>
      </c>
      <c r="C225">
        <v>2020</v>
      </c>
      <c r="D225">
        <v>34390910338.960403</v>
      </c>
      <c r="E225">
        <v>7809368410.6957417</v>
      </c>
      <c r="F225">
        <v>988585</v>
      </c>
      <c r="G225">
        <f t="shared" si="12"/>
        <v>24.261058132077174</v>
      </c>
      <c r="H225">
        <f t="shared" si="12"/>
        <v>22.778589928218782</v>
      </c>
      <c r="I225">
        <f t="shared" si="12"/>
        <v>13.804029906768006</v>
      </c>
      <c r="J225">
        <f t="shared" si="13"/>
        <v>8.9745600214507757</v>
      </c>
      <c r="K225">
        <v>0.72991001605987504</v>
      </c>
      <c r="L225">
        <v>1</v>
      </c>
      <c r="M225">
        <f t="shared" si="14"/>
        <v>0</v>
      </c>
      <c r="N225" s="2">
        <v>0.873</v>
      </c>
      <c r="O225">
        <v>1.18040430545807</v>
      </c>
      <c r="P225">
        <v>0.69326937198638905</v>
      </c>
    </row>
    <row r="226" spans="1:16" x14ac:dyDescent="0.25">
      <c r="A226" t="s">
        <v>52</v>
      </c>
      <c r="B226" s="1" t="s">
        <v>62</v>
      </c>
      <c r="C226">
        <v>2005</v>
      </c>
      <c r="D226">
        <v>37672280120.479362</v>
      </c>
      <c r="E226">
        <v>16983235551.726063</v>
      </c>
      <c r="F226">
        <v>210533</v>
      </c>
      <c r="G226">
        <f t="shared" ref="G226:I258" si="15">LN(D226)</f>
        <v>24.352190385634053</v>
      </c>
      <c r="H226">
        <f t="shared" si="15"/>
        <v>23.5554925504266</v>
      </c>
      <c r="I226">
        <f t="shared" si="15"/>
        <v>12.257397689413704</v>
      </c>
      <c r="J226">
        <f t="shared" si="13"/>
        <v>11.298094861012896</v>
      </c>
      <c r="K226">
        <v>1.5587300062179601</v>
      </c>
      <c r="L226">
        <v>64</v>
      </c>
      <c r="M226">
        <f t="shared" si="14"/>
        <v>4.1588830833596715</v>
      </c>
      <c r="N226" s="2">
        <v>0.88200000000000001</v>
      </c>
      <c r="O226">
        <v>1.6386086940765401</v>
      </c>
      <c r="P226">
        <v>1.64741575717926</v>
      </c>
    </row>
    <row r="227" spans="1:16" x14ac:dyDescent="0.25">
      <c r="A227" t="s">
        <v>52</v>
      </c>
      <c r="B227" s="1" t="s">
        <v>62</v>
      </c>
      <c r="C227">
        <v>2006</v>
      </c>
      <c r="D227">
        <v>42910146296.064644</v>
      </c>
      <c r="E227">
        <v>20856455736.324677</v>
      </c>
      <c r="F227">
        <v>214872</v>
      </c>
      <c r="G227">
        <f t="shared" si="15"/>
        <v>24.482374145313983</v>
      </c>
      <c r="H227">
        <f t="shared" si="15"/>
        <v>23.760929364907948</v>
      </c>
      <c r="I227">
        <f t="shared" si="15"/>
        <v>12.277797780982102</v>
      </c>
      <c r="J227">
        <f t="shared" si="13"/>
        <v>11.483131583925847</v>
      </c>
      <c r="K227">
        <v>1.64885997772217</v>
      </c>
      <c r="L227">
        <v>26</v>
      </c>
      <c r="M227">
        <f t="shared" si="14"/>
        <v>3.2580965380214821</v>
      </c>
      <c r="N227" s="2">
        <v>0.88200000000000001</v>
      </c>
      <c r="O227">
        <v>1.6748696565628101</v>
      </c>
      <c r="P227">
        <v>1.87307953834534</v>
      </c>
    </row>
    <row r="228" spans="1:16" x14ac:dyDescent="0.25">
      <c r="A228" t="s">
        <v>52</v>
      </c>
      <c r="B228" s="1" t="s">
        <v>62</v>
      </c>
      <c r="C228">
        <v>2007</v>
      </c>
      <c r="D228">
        <v>51587401415.787224</v>
      </c>
      <c r="E228">
        <v>26403317434.536556</v>
      </c>
      <c r="F228">
        <v>219204</v>
      </c>
      <c r="G228">
        <f t="shared" si="15"/>
        <v>24.666543321013588</v>
      </c>
      <c r="H228">
        <f t="shared" si="15"/>
        <v>23.996755499603186</v>
      </c>
      <c r="I228">
        <f t="shared" si="15"/>
        <v>12.297758082064684</v>
      </c>
      <c r="J228">
        <f t="shared" si="13"/>
        <v>11.698997417538502</v>
      </c>
      <c r="K228">
        <v>1.57165002822876</v>
      </c>
      <c r="L228">
        <v>25</v>
      </c>
      <c r="M228">
        <f t="shared" si="14"/>
        <v>3.2188758248682006</v>
      </c>
      <c r="N228" s="2">
        <v>0.88500000000000001</v>
      </c>
      <c r="O228">
        <v>1.7376186847686801</v>
      </c>
      <c r="P228">
        <v>1.96152448654175</v>
      </c>
    </row>
    <row r="229" spans="1:16" x14ac:dyDescent="0.25">
      <c r="A229" t="s">
        <v>52</v>
      </c>
      <c r="B229" s="1" t="s">
        <v>62</v>
      </c>
      <c r="C229">
        <v>2008</v>
      </c>
      <c r="D229">
        <v>58844277701.525764</v>
      </c>
      <c r="E229">
        <v>30219880293.901554</v>
      </c>
      <c r="F229">
        <v>224282</v>
      </c>
      <c r="G229">
        <f t="shared" si="15"/>
        <v>24.798160430606867</v>
      </c>
      <c r="H229">
        <f t="shared" si="15"/>
        <v>24.131765832628346</v>
      </c>
      <c r="I229">
        <f t="shared" si="15"/>
        <v>12.320659467622496</v>
      </c>
      <c r="J229">
        <f t="shared" si="13"/>
        <v>11.81110636500585</v>
      </c>
      <c r="K229">
        <v>1.54663002490997</v>
      </c>
      <c r="L229">
        <v>23</v>
      </c>
      <c r="M229">
        <f t="shared" si="14"/>
        <v>3.1354942159291497</v>
      </c>
      <c r="N229" s="2">
        <v>0.89800000000000002</v>
      </c>
      <c r="O229">
        <v>1.6580346822738601</v>
      </c>
      <c r="P229">
        <v>1.9571373462677</v>
      </c>
    </row>
    <row r="230" spans="1:16" x14ac:dyDescent="0.25">
      <c r="A230" t="s">
        <v>52</v>
      </c>
      <c r="B230" s="1" t="s">
        <v>62</v>
      </c>
      <c r="C230">
        <v>2009</v>
      </c>
      <c r="D230">
        <v>54467289897.558167</v>
      </c>
      <c r="E230">
        <v>26416834559.054279</v>
      </c>
      <c r="F230">
        <v>237839</v>
      </c>
      <c r="G230">
        <f t="shared" si="15"/>
        <v>24.720866173066369</v>
      </c>
      <c r="H230">
        <f t="shared" si="15"/>
        <v>23.997267316563292</v>
      </c>
      <c r="I230">
        <f t="shared" si="15"/>
        <v>12.379349253155908</v>
      </c>
      <c r="J230">
        <f t="shared" si="13"/>
        <v>11.617918063407384</v>
      </c>
      <c r="K230">
        <v>1.58838999271393</v>
      </c>
      <c r="L230">
        <v>24</v>
      </c>
      <c r="M230">
        <f t="shared" si="14"/>
        <v>3.1780538303479458</v>
      </c>
      <c r="N230" s="2">
        <v>0.90800000000000003</v>
      </c>
      <c r="O230">
        <v>1.64333391189575</v>
      </c>
      <c r="P230">
        <v>1.9635378122329701</v>
      </c>
    </row>
    <row r="231" spans="1:16" x14ac:dyDescent="0.25">
      <c r="A231" t="s">
        <v>52</v>
      </c>
      <c r="B231" s="1" t="s">
        <v>62</v>
      </c>
      <c r="C231">
        <v>2010</v>
      </c>
      <c r="D231">
        <v>56213985987.416779</v>
      </c>
      <c r="E231">
        <v>28012008708.833385</v>
      </c>
      <c r="F231">
        <v>240833</v>
      </c>
      <c r="G231">
        <f t="shared" si="15"/>
        <v>24.752431423871361</v>
      </c>
      <c r="H231">
        <f t="shared" si="15"/>
        <v>24.055899137636157</v>
      </c>
      <c r="I231">
        <f t="shared" si="15"/>
        <v>12.391859026216611</v>
      </c>
      <c r="J231">
        <f t="shared" si="13"/>
        <v>11.664040111419546</v>
      </c>
      <c r="K231">
        <v>1.4237300157546999</v>
      </c>
      <c r="L231">
        <v>21</v>
      </c>
      <c r="M231">
        <f t="shared" si="14"/>
        <v>3.044522437723423</v>
      </c>
      <c r="N231" s="2">
        <v>0.91200000000000003</v>
      </c>
      <c r="O231">
        <v>1.6739094257354701</v>
      </c>
      <c r="P231">
        <v>2.03858494758606</v>
      </c>
    </row>
    <row r="232" spans="1:16" x14ac:dyDescent="0.25">
      <c r="A232" t="s">
        <v>52</v>
      </c>
      <c r="B232" s="1" t="s">
        <v>62</v>
      </c>
      <c r="C232">
        <v>2011</v>
      </c>
      <c r="D232">
        <v>61696281326.245255</v>
      </c>
      <c r="E232">
        <v>30559766509.465042</v>
      </c>
      <c r="F232">
        <v>246661</v>
      </c>
      <c r="G232">
        <f t="shared" si="15"/>
        <v>24.845489495802294</v>
      </c>
      <c r="H232">
        <f t="shared" si="15"/>
        <v>24.142950160818458</v>
      </c>
      <c r="I232">
        <f t="shared" si="15"/>
        <v>12.415770203275388</v>
      </c>
      <c r="J232">
        <f t="shared" si="13"/>
        <v>11.72717995754307</v>
      </c>
      <c r="K232">
        <v>1.4245300292968801</v>
      </c>
      <c r="L232">
        <v>43</v>
      </c>
      <c r="M232">
        <f t="shared" si="14"/>
        <v>3.7612001156935624</v>
      </c>
      <c r="N232" s="2">
        <v>0.91300000000000003</v>
      </c>
      <c r="O232">
        <v>1.8589830398559599</v>
      </c>
      <c r="P232">
        <v>2.1531534194946298</v>
      </c>
    </row>
    <row r="233" spans="1:16" x14ac:dyDescent="0.25">
      <c r="A233" t="s">
        <v>52</v>
      </c>
      <c r="B233" s="1" t="s">
        <v>62</v>
      </c>
      <c r="C233">
        <v>2012</v>
      </c>
      <c r="D233">
        <v>59776383527.360168</v>
      </c>
      <c r="E233">
        <v>29522986729.333599</v>
      </c>
      <c r="F233">
        <v>258659</v>
      </c>
      <c r="G233">
        <f t="shared" si="15"/>
        <v>24.813876495608227</v>
      </c>
      <c r="H233">
        <f t="shared" si="15"/>
        <v>24.108435008028628</v>
      </c>
      <c r="I233">
        <f t="shared" si="15"/>
        <v>12.46326587088274</v>
      </c>
      <c r="J233">
        <f t="shared" si="13"/>
        <v>11.645169137145889</v>
      </c>
      <c r="K233">
        <v>1.2066400051116899</v>
      </c>
      <c r="L233">
        <v>52</v>
      </c>
      <c r="M233">
        <f t="shared" si="14"/>
        <v>3.9512437185814275</v>
      </c>
      <c r="N233" s="2">
        <v>0.91700000000000004</v>
      </c>
      <c r="O233">
        <v>1.7598860263824501</v>
      </c>
      <c r="P233">
        <v>2.1143639087677002</v>
      </c>
    </row>
    <row r="234" spans="1:16" x14ac:dyDescent="0.25">
      <c r="A234" t="s">
        <v>52</v>
      </c>
      <c r="B234" s="1" t="s">
        <v>62</v>
      </c>
      <c r="C234">
        <v>2013</v>
      </c>
      <c r="D234">
        <v>65203276466.976265</v>
      </c>
      <c r="E234">
        <v>32848451041.482838</v>
      </c>
      <c r="F234">
        <v>268091</v>
      </c>
      <c r="G234">
        <f t="shared" si="15"/>
        <v>24.900775557177386</v>
      </c>
      <c r="H234">
        <f t="shared" si="15"/>
        <v>24.215170428299043</v>
      </c>
      <c r="I234">
        <f t="shared" si="15"/>
        <v>12.499081754096984</v>
      </c>
      <c r="J234">
        <f t="shared" si="13"/>
        <v>11.716088674202059</v>
      </c>
      <c r="K234">
        <v>1.23380994796753</v>
      </c>
      <c r="L234">
        <v>56</v>
      </c>
      <c r="M234">
        <f t="shared" si="14"/>
        <v>4.0253516907351496</v>
      </c>
      <c r="N234" s="2">
        <v>0.92200000000000004</v>
      </c>
      <c r="O234">
        <v>1.7709772586822501</v>
      </c>
      <c r="P234">
        <v>2.1157751083374001</v>
      </c>
    </row>
    <row r="235" spans="1:16" x14ac:dyDescent="0.25">
      <c r="A235" t="s">
        <v>52</v>
      </c>
      <c r="B235" s="1" t="s">
        <v>62</v>
      </c>
      <c r="C235">
        <v>2014</v>
      </c>
      <c r="D235">
        <v>68804811897.64447</v>
      </c>
      <c r="E235">
        <v>35248647663.422226</v>
      </c>
      <c r="F235">
        <v>278241</v>
      </c>
      <c r="G235">
        <f t="shared" si="15"/>
        <v>24.954539519812734</v>
      </c>
      <c r="H235">
        <f t="shared" si="15"/>
        <v>24.285693001310531</v>
      </c>
      <c r="I235">
        <f t="shared" si="15"/>
        <v>12.536242923601202</v>
      </c>
      <c r="J235">
        <f t="shared" si="13"/>
        <v>11.749450077709328</v>
      </c>
      <c r="K235">
        <v>1.2170000076293901</v>
      </c>
      <c r="L235">
        <v>90</v>
      </c>
      <c r="M235">
        <f t="shared" si="14"/>
        <v>4.499809670330265</v>
      </c>
      <c r="N235" s="2">
        <v>0.92700000000000005</v>
      </c>
      <c r="O235">
        <v>1.6250411272048999</v>
      </c>
      <c r="P235">
        <v>2.0693824291229199</v>
      </c>
    </row>
    <row r="236" spans="1:16" x14ac:dyDescent="0.25">
      <c r="A236" t="s">
        <v>52</v>
      </c>
      <c r="B236" s="1" t="s">
        <v>62</v>
      </c>
      <c r="C236">
        <v>2015</v>
      </c>
      <c r="D236">
        <v>60071584216.137466</v>
      </c>
      <c r="E236">
        <v>30935308603.398029</v>
      </c>
      <c r="F236">
        <v>285050</v>
      </c>
      <c r="G236">
        <f t="shared" si="15"/>
        <v>24.818802758294709</v>
      </c>
      <c r="H236">
        <f t="shared" si="15"/>
        <v>24.155164041745067</v>
      </c>
      <c r="I236">
        <f t="shared" si="15"/>
        <v>12.560419882459728</v>
      </c>
      <c r="J236">
        <f t="shared" si="13"/>
        <v>11.594744159285339</v>
      </c>
      <c r="K236">
        <v>1.2522599697112999</v>
      </c>
      <c r="L236">
        <v>119</v>
      </c>
      <c r="M236">
        <f t="shared" si="14"/>
        <v>4.7791234931115296</v>
      </c>
      <c r="N236" s="2">
        <v>0.91400000000000003</v>
      </c>
      <c r="O236">
        <v>1.64557504653931</v>
      </c>
      <c r="P236">
        <v>2.0535767078399698</v>
      </c>
    </row>
    <row r="237" spans="1:16" x14ac:dyDescent="0.25">
      <c r="A237" t="s">
        <v>52</v>
      </c>
      <c r="B237" s="1" t="s">
        <v>62</v>
      </c>
      <c r="C237">
        <v>2016</v>
      </c>
      <c r="D237">
        <v>62216885435.948792</v>
      </c>
      <c r="E237">
        <v>32161010170.811752</v>
      </c>
      <c r="F237">
        <v>286784</v>
      </c>
      <c r="G237">
        <f t="shared" si="15"/>
        <v>24.853892269881555</v>
      </c>
      <c r="H237">
        <f t="shared" si="15"/>
        <v>24.194020691547816</v>
      </c>
      <c r="I237">
        <f t="shared" si="15"/>
        <v>12.566484598145815</v>
      </c>
      <c r="J237">
        <f t="shared" si="13"/>
        <v>11.627536093402002</v>
      </c>
      <c r="K237">
        <v>1.26689994335175</v>
      </c>
      <c r="L237">
        <v>301</v>
      </c>
      <c r="M237">
        <f t="shared" si="14"/>
        <v>5.7071102647488754</v>
      </c>
      <c r="N237" s="2">
        <v>0.92200000000000004</v>
      </c>
      <c r="O237">
        <v>1.71001076698303</v>
      </c>
      <c r="P237">
        <v>2.0496475696563698</v>
      </c>
    </row>
    <row r="238" spans="1:16" x14ac:dyDescent="0.25">
      <c r="A238" t="s">
        <v>52</v>
      </c>
      <c r="B238" s="1" t="s">
        <v>62</v>
      </c>
      <c r="C238">
        <v>2017</v>
      </c>
      <c r="D238">
        <v>65712180342.983643</v>
      </c>
      <c r="E238">
        <v>33244273476.712997</v>
      </c>
      <c r="F238">
        <v>296430</v>
      </c>
      <c r="G238">
        <f t="shared" si="15"/>
        <v>24.90855013860206</v>
      </c>
      <c r="H238">
        <f t="shared" si="15"/>
        <v>24.227148362951358</v>
      </c>
      <c r="I238">
        <f t="shared" si="15"/>
        <v>12.599566381857118</v>
      </c>
      <c r="J238">
        <f t="shared" si="13"/>
        <v>11.62758198109424</v>
      </c>
      <c r="K238">
        <v>1.23898005485535</v>
      </c>
      <c r="L238">
        <v>512</v>
      </c>
      <c r="M238">
        <f t="shared" si="14"/>
        <v>6.2383246250395077</v>
      </c>
      <c r="N238" s="2">
        <v>0.91800000000000004</v>
      </c>
      <c r="O238">
        <v>1.68155860900879</v>
      </c>
      <c r="P238">
        <v>1.94049072265625</v>
      </c>
    </row>
    <row r="239" spans="1:16" x14ac:dyDescent="0.25">
      <c r="A239" t="s">
        <v>52</v>
      </c>
      <c r="B239" s="1" t="s">
        <v>62</v>
      </c>
      <c r="C239">
        <v>2018</v>
      </c>
      <c r="D239">
        <v>71000359760.461121</v>
      </c>
      <c r="E239">
        <v>35232834217.346642</v>
      </c>
      <c r="F239">
        <v>305430</v>
      </c>
      <c r="G239">
        <f t="shared" si="15"/>
        <v>24.985950781023636</v>
      </c>
      <c r="H239">
        <f t="shared" si="15"/>
        <v>24.285244275037503</v>
      </c>
      <c r="I239">
        <f t="shared" si="15"/>
        <v>12.629475898769352</v>
      </c>
      <c r="J239">
        <f t="shared" si="13"/>
        <v>11.655768376268151</v>
      </c>
      <c r="K239">
        <v>1.1718000173568699</v>
      </c>
      <c r="L239">
        <v>243</v>
      </c>
      <c r="M239">
        <f t="shared" si="14"/>
        <v>5.4930614433405482</v>
      </c>
      <c r="N239" s="2">
        <v>0.92100000000000004</v>
      </c>
      <c r="O239">
        <v>1.7491340637207</v>
      </c>
      <c r="P239">
        <v>2.0478684902191202</v>
      </c>
    </row>
    <row r="240" spans="1:16" x14ac:dyDescent="0.25">
      <c r="A240" t="s">
        <v>52</v>
      </c>
      <c r="B240" s="1" t="s">
        <v>62</v>
      </c>
      <c r="C240">
        <v>2019</v>
      </c>
      <c r="D240">
        <v>69890505323.584198</v>
      </c>
      <c r="E240">
        <v>34363676138.415634</v>
      </c>
      <c r="F240">
        <v>315771</v>
      </c>
      <c r="G240">
        <f t="shared" si="15"/>
        <v>24.97019564467951</v>
      </c>
      <c r="H240">
        <f t="shared" si="15"/>
        <v>24.260265917234079</v>
      </c>
      <c r="I240">
        <f t="shared" si="15"/>
        <v>12.662772546314697</v>
      </c>
      <c r="J240">
        <f t="shared" si="13"/>
        <v>11.597493370919382</v>
      </c>
      <c r="K240">
        <v>1.1828700304031401</v>
      </c>
      <c r="L240">
        <v>359</v>
      </c>
      <c r="M240">
        <f t="shared" si="14"/>
        <v>5.8833223884882786</v>
      </c>
      <c r="N240" s="2">
        <v>0.92500000000000004</v>
      </c>
      <c r="O240">
        <v>1.6851100921630899</v>
      </c>
      <c r="P240">
        <v>2.0725116729736301</v>
      </c>
    </row>
    <row r="241" spans="1:16" x14ac:dyDescent="0.25">
      <c r="A241" t="s">
        <v>52</v>
      </c>
      <c r="B241" s="1" t="s">
        <v>62</v>
      </c>
      <c r="C241">
        <v>2020</v>
      </c>
      <c r="D241">
        <v>73699366700.21344</v>
      </c>
      <c r="E241">
        <v>37818422702.460808</v>
      </c>
      <c r="F241">
        <v>322041</v>
      </c>
      <c r="G241">
        <f t="shared" si="15"/>
        <v>25.023260043163308</v>
      </c>
      <c r="H241">
        <f t="shared" si="15"/>
        <v>24.356062193925244</v>
      </c>
      <c r="I241">
        <f t="shared" si="15"/>
        <v>12.682434145613419</v>
      </c>
      <c r="J241">
        <f t="shared" si="13"/>
        <v>11.673628048311825</v>
      </c>
      <c r="K241">
        <v>1.0915000438690201</v>
      </c>
      <c r="L241">
        <v>679</v>
      </c>
      <c r="M241">
        <f t="shared" si="14"/>
        <v>6.5206211275586963</v>
      </c>
      <c r="N241" s="2">
        <v>0.92100000000000004</v>
      </c>
      <c r="O241">
        <v>1.8381770849227901</v>
      </c>
      <c r="P241">
        <v>2.023770570755</v>
      </c>
    </row>
    <row r="242" spans="1:16" x14ac:dyDescent="0.25">
      <c r="A242" t="s">
        <v>108</v>
      </c>
      <c r="B242" s="1" t="s">
        <v>60</v>
      </c>
      <c r="C242">
        <v>2005</v>
      </c>
      <c r="D242">
        <v>685348181515.953</v>
      </c>
      <c r="E242">
        <v>198145013590.66138</v>
      </c>
      <c r="F242">
        <v>8457142</v>
      </c>
      <c r="G242">
        <f t="shared" si="15"/>
        <v>27.25319284025478</v>
      </c>
      <c r="H242">
        <f t="shared" si="15"/>
        <v>26.012264991444926</v>
      </c>
      <c r="I242">
        <f t="shared" si="15"/>
        <v>15.950521849447565</v>
      </c>
      <c r="J242">
        <f t="shared" si="13"/>
        <v>10.061743141997361</v>
      </c>
      <c r="K242">
        <v>1.7738800048828101</v>
      </c>
      <c r="L242">
        <v>633</v>
      </c>
      <c r="M242">
        <f t="shared" si="14"/>
        <v>6.4504704221441758</v>
      </c>
      <c r="N242" s="2">
        <v>0.89900000000000002</v>
      </c>
      <c r="O242">
        <v>1.65410709381104</v>
      </c>
      <c r="P242">
        <v>1.96084868907928</v>
      </c>
    </row>
    <row r="243" spans="1:16" x14ac:dyDescent="0.25">
      <c r="A243" t="s">
        <v>108</v>
      </c>
      <c r="B243" s="1" t="s">
        <v>60</v>
      </c>
      <c r="C243">
        <v>2006</v>
      </c>
      <c r="D243">
        <v>733955269898.82251</v>
      </c>
      <c r="E243">
        <v>217351689945.88205</v>
      </c>
      <c r="F243">
        <v>8508765</v>
      </c>
      <c r="G243">
        <f t="shared" si="15"/>
        <v>27.321713923511659</v>
      </c>
      <c r="H243">
        <f t="shared" si="15"/>
        <v>26.104782569579335</v>
      </c>
      <c r="I243">
        <f t="shared" si="15"/>
        <v>15.956607366633886</v>
      </c>
      <c r="J243">
        <f t="shared" si="13"/>
        <v>10.148175202945449</v>
      </c>
      <c r="K243">
        <v>1.7406699657440201</v>
      </c>
      <c r="L243">
        <v>548</v>
      </c>
      <c r="M243">
        <f t="shared" si="14"/>
        <v>6.3062752869480159</v>
      </c>
      <c r="N243" s="2">
        <v>0.90500000000000003</v>
      </c>
      <c r="O243">
        <v>1.68260562419891</v>
      </c>
      <c r="P243">
        <v>2.0405261516571001</v>
      </c>
    </row>
    <row r="244" spans="1:16" x14ac:dyDescent="0.25">
      <c r="A244" t="s">
        <v>108</v>
      </c>
      <c r="B244" s="1" t="s">
        <v>60</v>
      </c>
      <c r="C244">
        <v>2007</v>
      </c>
      <c r="D244">
        <v>848558887541.1792</v>
      </c>
      <c r="E244">
        <v>258322776089.80475</v>
      </c>
      <c r="F244">
        <v>8674930</v>
      </c>
      <c r="G244">
        <f t="shared" si="15"/>
        <v>27.466805321146701</v>
      </c>
      <c r="H244">
        <f t="shared" si="15"/>
        <v>26.277475710047437</v>
      </c>
      <c r="I244">
        <f t="shared" si="15"/>
        <v>15.975947814600376</v>
      </c>
      <c r="J244">
        <f t="shared" si="13"/>
        <v>10.301527895447061</v>
      </c>
      <c r="K244">
        <v>1.67030000686646</v>
      </c>
      <c r="L244">
        <v>367</v>
      </c>
      <c r="M244">
        <f t="shared" si="14"/>
        <v>5.9053618480545707</v>
      </c>
      <c r="N244" s="2">
        <v>0.91100000000000003</v>
      </c>
      <c r="O244">
        <v>1.8004385232925399</v>
      </c>
      <c r="P244">
        <v>2.1594722270965598</v>
      </c>
    </row>
    <row r="245" spans="1:16" x14ac:dyDescent="0.25">
      <c r="A245" t="s">
        <v>108</v>
      </c>
      <c r="B245" s="1" t="s">
        <v>60</v>
      </c>
      <c r="C245">
        <v>2008</v>
      </c>
      <c r="D245">
        <v>951869997864.06226</v>
      </c>
      <c r="E245">
        <v>293730457685.93744</v>
      </c>
      <c r="F245">
        <v>8830188</v>
      </c>
      <c r="G245">
        <f t="shared" si="15"/>
        <v>27.581694305547558</v>
      </c>
      <c r="H245">
        <f t="shared" si="15"/>
        <v>26.405928373165164</v>
      </c>
      <c r="I245">
        <f t="shared" si="15"/>
        <v>15.993686863406719</v>
      </c>
      <c r="J245">
        <f t="shared" si="13"/>
        <v>10.412241509758445</v>
      </c>
      <c r="K245">
        <v>1.6226899623870801</v>
      </c>
      <c r="L245">
        <v>311</v>
      </c>
      <c r="M245">
        <f t="shared" si="14"/>
        <v>5.7397929121792339</v>
      </c>
      <c r="N245" s="2">
        <v>0.91100000000000003</v>
      </c>
      <c r="O245">
        <v>1.77511894702911</v>
      </c>
      <c r="P245">
        <v>2.1027684211731001</v>
      </c>
    </row>
    <row r="246" spans="1:16" x14ac:dyDescent="0.25">
      <c r="A246" t="s">
        <v>108</v>
      </c>
      <c r="B246" s="1" t="s">
        <v>60</v>
      </c>
      <c r="C246">
        <v>2009</v>
      </c>
      <c r="D246">
        <v>871518638049.21814</v>
      </c>
      <c r="E246">
        <v>246689587827.3436</v>
      </c>
      <c r="F246">
        <v>8909191</v>
      </c>
      <c r="G246">
        <f t="shared" si="15"/>
        <v>27.493503087850172</v>
      </c>
      <c r="H246">
        <f t="shared" si="15"/>
        <v>26.231396653783751</v>
      </c>
      <c r="I246">
        <f t="shared" si="15"/>
        <v>16.002593998467244</v>
      </c>
      <c r="J246">
        <f t="shared" si="13"/>
        <v>10.228802655316507</v>
      </c>
      <c r="K246">
        <v>1.66569995880127</v>
      </c>
      <c r="L246">
        <v>279</v>
      </c>
      <c r="M246">
        <f t="shared" si="14"/>
        <v>5.6312117818213654</v>
      </c>
      <c r="N246" s="2">
        <v>0.91200000000000003</v>
      </c>
      <c r="O246">
        <v>1.69705557823181</v>
      </c>
      <c r="P246">
        <v>2.1241586208343501</v>
      </c>
    </row>
    <row r="247" spans="1:16" x14ac:dyDescent="0.25">
      <c r="A247" t="s">
        <v>108</v>
      </c>
      <c r="B247" s="1" t="s">
        <v>60</v>
      </c>
      <c r="C247">
        <v>2010</v>
      </c>
      <c r="D247">
        <v>847380859016.66833</v>
      </c>
      <c r="E247">
        <v>239867219366.66711</v>
      </c>
      <c r="F247">
        <v>8887012</v>
      </c>
      <c r="G247">
        <f t="shared" si="15"/>
        <v>27.465416086987453</v>
      </c>
      <c r="H247">
        <f t="shared" si="15"/>
        <v>26.203351354548804</v>
      </c>
      <c r="I247">
        <f t="shared" si="15"/>
        <v>16.000101443006635</v>
      </c>
      <c r="J247">
        <f t="shared" si="13"/>
        <v>10.203249911542169</v>
      </c>
      <c r="K247">
        <v>1.70404005050659</v>
      </c>
      <c r="L247">
        <v>240</v>
      </c>
      <c r="M247">
        <f t="shared" si="14"/>
        <v>5.4806389233419912</v>
      </c>
      <c r="N247" s="2">
        <v>0.91700000000000004</v>
      </c>
      <c r="O247">
        <v>1.72908127307892</v>
      </c>
      <c r="P247">
        <v>2.0900607109069802</v>
      </c>
    </row>
    <row r="248" spans="1:16" x14ac:dyDescent="0.25">
      <c r="A248" t="s">
        <v>108</v>
      </c>
      <c r="B248" s="1" t="s">
        <v>60</v>
      </c>
      <c r="C248">
        <v>2011</v>
      </c>
      <c r="D248">
        <v>905270626332.68665</v>
      </c>
      <c r="E248">
        <v>258672612470.81763</v>
      </c>
      <c r="F248">
        <v>8900853</v>
      </c>
      <c r="G248">
        <f t="shared" si="15"/>
        <v>27.53149977056615</v>
      </c>
      <c r="H248">
        <f t="shared" si="15"/>
        <v>26.27882905455359</v>
      </c>
      <c r="I248">
        <f t="shared" si="15"/>
        <v>16.001657672806381</v>
      </c>
      <c r="J248">
        <f t="shared" si="13"/>
        <v>10.277171381747209</v>
      </c>
      <c r="K248">
        <v>1.8813099861145</v>
      </c>
      <c r="L248">
        <v>310</v>
      </c>
      <c r="M248">
        <f t="shared" si="14"/>
        <v>5.7365722974791922</v>
      </c>
      <c r="N248" s="2">
        <v>0.92700000000000005</v>
      </c>
      <c r="O248">
        <v>1.80483758449554</v>
      </c>
      <c r="P248">
        <v>2.0813980102539098</v>
      </c>
    </row>
    <row r="249" spans="1:16" x14ac:dyDescent="0.25">
      <c r="A249" t="s">
        <v>108</v>
      </c>
      <c r="B249" s="1" t="s">
        <v>60</v>
      </c>
      <c r="C249">
        <v>2012</v>
      </c>
      <c r="D249">
        <v>838923319919.53149</v>
      </c>
      <c r="E249">
        <v>238783113822.65631</v>
      </c>
      <c r="F249">
        <v>9013873</v>
      </c>
      <c r="G249">
        <f t="shared" si="15"/>
        <v>27.455385144623683</v>
      </c>
      <c r="H249">
        <f t="shared" si="15"/>
        <v>26.19882150332916</v>
      </c>
      <c r="I249">
        <f t="shared" si="15"/>
        <v>16.014275392938892</v>
      </c>
      <c r="J249">
        <f t="shared" si="13"/>
        <v>10.184546110390269</v>
      </c>
      <c r="K249">
        <v>1.9162700176239</v>
      </c>
      <c r="L249">
        <v>338</v>
      </c>
      <c r="M249">
        <f t="shared" si="14"/>
        <v>5.8230458954830189</v>
      </c>
      <c r="N249" s="2">
        <v>0.92700000000000005</v>
      </c>
      <c r="O249">
        <v>1.7455050945282</v>
      </c>
      <c r="P249">
        <v>2.0905833244323699</v>
      </c>
    </row>
    <row r="250" spans="1:16" x14ac:dyDescent="0.25">
      <c r="A250" t="s">
        <v>108</v>
      </c>
      <c r="B250" s="1" t="s">
        <v>60</v>
      </c>
      <c r="C250">
        <v>2013</v>
      </c>
      <c r="D250">
        <v>877172824534.51233</v>
      </c>
      <c r="E250">
        <v>251938679567.05954</v>
      </c>
      <c r="F250">
        <v>9054383</v>
      </c>
      <c r="G250">
        <f t="shared" si="15"/>
        <v>27.499969873227442</v>
      </c>
      <c r="H250">
        <f t="shared" si="15"/>
        <v>26.252451559795706</v>
      </c>
      <c r="I250">
        <f t="shared" si="15"/>
        <v>16.018759507828431</v>
      </c>
      <c r="J250">
        <f t="shared" si="13"/>
        <v>10.233692051967274</v>
      </c>
      <c r="K250">
        <v>2.1560599803924601</v>
      </c>
      <c r="L250">
        <v>449</v>
      </c>
      <c r="M250">
        <f t="shared" si="14"/>
        <v>6.1070228877422545</v>
      </c>
      <c r="N250" s="2">
        <v>0.92900000000000005</v>
      </c>
      <c r="O250">
        <v>1.7609175443649301</v>
      </c>
      <c r="P250">
        <v>2.0167834758758501</v>
      </c>
    </row>
    <row r="251" spans="1:16" x14ac:dyDescent="0.25">
      <c r="A251" t="s">
        <v>108</v>
      </c>
      <c r="B251" s="1" t="s">
        <v>60</v>
      </c>
      <c r="C251">
        <v>2014</v>
      </c>
      <c r="D251">
        <v>892167986713.72241</v>
      </c>
      <c r="E251">
        <v>258859706324.31281</v>
      </c>
      <c r="F251">
        <v>9031991</v>
      </c>
      <c r="G251">
        <f t="shared" si="15"/>
        <v>27.516920277707566</v>
      </c>
      <c r="H251">
        <f t="shared" si="15"/>
        <v>26.279552077463855</v>
      </c>
      <c r="I251">
        <f t="shared" si="15"/>
        <v>16.016283388354097</v>
      </c>
      <c r="J251">
        <f t="shared" si="13"/>
        <v>10.263268689109758</v>
      </c>
      <c r="K251">
        <v>2.17330002784729</v>
      </c>
      <c r="L251">
        <v>288</v>
      </c>
      <c r="M251">
        <f t="shared" si="14"/>
        <v>5.6629604801359461</v>
      </c>
      <c r="N251" s="2">
        <v>0.93100000000000005</v>
      </c>
      <c r="O251">
        <v>1.7631253004074099</v>
      </c>
      <c r="P251">
        <v>1.9606961011886599</v>
      </c>
    </row>
    <row r="252" spans="1:16" x14ac:dyDescent="0.25">
      <c r="A252" t="s">
        <v>108</v>
      </c>
      <c r="B252" s="1" t="s">
        <v>60</v>
      </c>
      <c r="C252">
        <v>2015</v>
      </c>
      <c r="D252">
        <v>765572770634.37463</v>
      </c>
      <c r="E252">
        <v>229489427271.09363</v>
      </c>
      <c r="F252">
        <v>9095975</v>
      </c>
      <c r="G252">
        <f t="shared" si="15"/>
        <v>27.363890110405613</v>
      </c>
      <c r="H252">
        <f t="shared" si="15"/>
        <v>26.159122796850284</v>
      </c>
      <c r="I252">
        <f t="shared" si="15"/>
        <v>16.023342565947871</v>
      </c>
      <c r="J252">
        <f t="shared" si="13"/>
        <v>10.135780230902412</v>
      </c>
      <c r="K252">
        <v>2.1460599899292001</v>
      </c>
      <c r="L252">
        <v>287</v>
      </c>
      <c r="M252">
        <f t="shared" si="14"/>
        <v>5.6594822157596214</v>
      </c>
      <c r="N252" s="2">
        <v>0.93200000000000005</v>
      </c>
      <c r="O252">
        <v>1.78769791126251</v>
      </c>
      <c r="P252">
        <v>1.8336265087127701</v>
      </c>
    </row>
    <row r="253" spans="1:16" x14ac:dyDescent="0.25">
      <c r="A253" t="s">
        <v>108</v>
      </c>
      <c r="B253" s="1" t="s">
        <v>60</v>
      </c>
      <c r="C253">
        <v>2016</v>
      </c>
      <c r="D253">
        <v>784060430240.07971</v>
      </c>
      <c r="E253">
        <v>240700509499.61148</v>
      </c>
      <c r="F253">
        <v>9128587</v>
      </c>
      <c r="G253">
        <f t="shared" si="15"/>
        <v>27.387751933714213</v>
      </c>
      <c r="H253">
        <f t="shared" si="15"/>
        <v>26.206819298474418</v>
      </c>
      <c r="I253">
        <f t="shared" si="15"/>
        <v>16.026921476081291</v>
      </c>
      <c r="J253">
        <f t="shared" si="13"/>
        <v>10.179897822393126</v>
      </c>
      <c r="K253">
        <v>2.1508100032806401</v>
      </c>
      <c r="L253">
        <v>314</v>
      </c>
      <c r="M253">
        <f t="shared" si="14"/>
        <v>5.7493929859082531</v>
      </c>
      <c r="N253" s="2">
        <v>0.93300000000000005</v>
      </c>
      <c r="O253">
        <v>1.9648460149764999</v>
      </c>
      <c r="P253">
        <v>1.85842132568359</v>
      </c>
    </row>
    <row r="254" spans="1:16" x14ac:dyDescent="0.25">
      <c r="A254" t="s">
        <v>108</v>
      </c>
      <c r="B254" s="1" t="s">
        <v>60</v>
      </c>
      <c r="C254">
        <v>2017</v>
      </c>
      <c r="D254">
        <v>833869641687.0603</v>
      </c>
      <c r="E254">
        <v>261401446148.23575</v>
      </c>
      <c r="F254">
        <v>9194515</v>
      </c>
      <c r="G254">
        <f t="shared" si="15"/>
        <v>27.449342922156685</v>
      </c>
      <c r="H254">
        <f t="shared" si="15"/>
        <v>26.289323170440419</v>
      </c>
      <c r="I254">
        <f t="shared" si="15"/>
        <v>16.034117668571795</v>
      </c>
      <c r="J254">
        <f t="shared" si="13"/>
        <v>10.255205501868623</v>
      </c>
      <c r="K254">
        <v>2.1785700321197501</v>
      </c>
      <c r="L254">
        <v>365</v>
      </c>
      <c r="M254">
        <f t="shared" si="14"/>
        <v>5.8998973535824915</v>
      </c>
      <c r="N254" s="2">
        <v>0.93600000000000005</v>
      </c>
      <c r="O254">
        <v>2.03998899459839</v>
      </c>
      <c r="P254">
        <v>1.74520063400269</v>
      </c>
    </row>
    <row r="255" spans="1:16" x14ac:dyDescent="0.25">
      <c r="A255" t="s">
        <v>108</v>
      </c>
      <c r="B255" s="1" t="s">
        <v>60</v>
      </c>
      <c r="C255">
        <v>2018</v>
      </c>
      <c r="D255">
        <v>914043438179.60718</v>
      </c>
      <c r="E255">
        <v>287935604762.35272</v>
      </c>
      <c r="F255">
        <v>9309225</v>
      </c>
      <c r="G255">
        <f t="shared" si="15"/>
        <v>27.541143932631886</v>
      </c>
      <c r="H255">
        <f t="shared" si="15"/>
        <v>26.3860026975062</v>
      </c>
      <c r="I255">
        <f t="shared" si="15"/>
        <v>16.046516401964446</v>
      </c>
      <c r="J255">
        <f t="shared" si="13"/>
        <v>10.339486295541754</v>
      </c>
      <c r="K255">
        <v>2.1387999057769802</v>
      </c>
      <c r="L255">
        <v>394</v>
      </c>
      <c r="M255">
        <f t="shared" si="14"/>
        <v>5.9763509092979339</v>
      </c>
      <c r="N255" s="2">
        <v>0.93899999999999995</v>
      </c>
      <c r="O255">
        <v>2.01364374160767</v>
      </c>
      <c r="P255">
        <v>1.8889521360397299</v>
      </c>
    </row>
    <row r="256" spans="1:16" x14ac:dyDescent="0.25">
      <c r="A256" t="s">
        <v>108</v>
      </c>
      <c r="B256" s="1" t="s">
        <v>60</v>
      </c>
      <c r="C256">
        <v>2019</v>
      </c>
      <c r="D256">
        <v>910194347568.62598</v>
      </c>
      <c r="E256">
        <v>290362581505.8819</v>
      </c>
      <c r="F256">
        <v>9466453</v>
      </c>
      <c r="G256">
        <f t="shared" si="15"/>
        <v>27.53692398241148</v>
      </c>
      <c r="H256">
        <f t="shared" si="15"/>
        <v>26.394396260031208</v>
      </c>
      <c r="I256">
        <f t="shared" si="15"/>
        <v>16.063264843786072</v>
      </c>
      <c r="J256">
        <f t="shared" si="13"/>
        <v>10.331131416245135</v>
      </c>
      <c r="K256">
        <v>2.1843500137329102</v>
      </c>
      <c r="L256">
        <v>449</v>
      </c>
      <c r="M256">
        <f t="shared" si="14"/>
        <v>6.1070228877422545</v>
      </c>
      <c r="N256" s="2">
        <v>0.94099999999999995</v>
      </c>
      <c r="O256">
        <v>1.84916996955872</v>
      </c>
      <c r="P256">
        <v>1.8678021430969201</v>
      </c>
    </row>
    <row r="257" spans="1:16" x14ac:dyDescent="0.25">
      <c r="A257" t="s">
        <v>108</v>
      </c>
      <c r="B257" s="1" t="s">
        <v>60</v>
      </c>
      <c r="C257">
        <v>2020</v>
      </c>
      <c r="D257">
        <v>909793466661.48108</v>
      </c>
      <c r="E257">
        <v>289547855814.7868</v>
      </c>
      <c r="F257">
        <v>9502134</v>
      </c>
      <c r="G257">
        <f t="shared" si="15"/>
        <v>27.536483450985397</v>
      </c>
      <c r="H257">
        <f t="shared" si="15"/>
        <v>26.391586425357797</v>
      </c>
      <c r="I257">
        <f t="shared" si="15"/>
        <v>16.067026962923823</v>
      </c>
      <c r="J257">
        <f t="shared" si="13"/>
        <v>10.324559462433974</v>
      </c>
      <c r="K257">
        <v>2.3218200206756601</v>
      </c>
      <c r="L257">
        <v>825</v>
      </c>
      <c r="M257">
        <f t="shared" si="14"/>
        <v>6.7153833863346808</v>
      </c>
      <c r="N257" s="2">
        <v>0.93799999999999994</v>
      </c>
      <c r="O257">
        <v>1.74825215339661</v>
      </c>
      <c r="P257">
        <v>2.0002470016479501</v>
      </c>
    </row>
    <row r="258" spans="1:16" x14ac:dyDescent="0.25">
      <c r="A258" t="s">
        <v>69</v>
      </c>
      <c r="B258" s="1" t="s">
        <v>39</v>
      </c>
      <c r="C258">
        <v>2005</v>
      </c>
      <c r="D258">
        <v>309978579743.88824</v>
      </c>
      <c r="E258">
        <v>120386185487.0004</v>
      </c>
      <c r="F258">
        <v>2438585</v>
      </c>
      <c r="G258">
        <f t="shared" si="15"/>
        <v>26.459769034437894</v>
      </c>
      <c r="H258">
        <f t="shared" si="15"/>
        <v>25.513970624758105</v>
      </c>
      <c r="I258">
        <f t="shared" si="15"/>
        <v>14.706928511019097</v>
      </c>
      <c r="J258">
        <f t="shared" si="13"/>
        <v>10.807042113739008</v>
      </c>
      <c r="K258">
        <v>1.47714996337891</v>
      </c>
      <c r="L258">
        <v>4843</v>
      </c>
      <c r="M258">
        <f t="shared" si="14"/>
        <v>8.4852896424032291</v>
      </c>
      <c r="N258" s="2">
        <v>0.93</v>
      </c>
      <c r="O258">
        <v>1.4785023927688601</v>
      </c>
      <c r="P258">
        <v>2.0002527236938499</v>
      </c>
    </row>
    <row r="259" spans="1:16" x14ac:dyDescent="0.25">
      <c r="A259" t="s">
        <v>69</v>
      </c>
      <c r="B259" s="1" t="s">
        <v>39</v>
      </c>
      <c r="C259">
        <v>2006</v>
      </c>
      <c r="D259">
        <v>346915160681.70837</v>
      </c>
      <c r="E259">
        <v>143428967926.02872</v>
      </c>
      <c r="F259">
        <v>2466712</v>
      </c>
      <c r="G259">
        <f t="shared" ref="G259:I305" si="16">LN(D259)</f>
        <v>26.572346093287155</v>
      </c>
      <c r="H259">
        <f t="shared" si="16"/>
        <v>25.689105752563453</v>
      </c>
      <c r="I259">
        <f t="shared" si="16"/>
        <v>14.718396647715787</v>
      </c>
      <c r="J259">
        <f t="shared" ref="J259:J322" si="17">H259-I259</f>
        <v>10.970709104847666</v>
      </c>
      <c r="K259">
        <v>1.4497200250625599</v>
      </c>
      <c r="L259">
        <v>4957</v>
      </c>
      <c r="M259">
        <f t="shared" ref="M259:M306" si="18">LN(L259)</f>
        <v>8.5085559980205741</v>
      </c>
      <c r="N259" s="2">
        <v>0.93400000000000005</v>
      </c>
      <c r="O259">
        <v>1.22095274925232</v>
      </c>
      <c r="P259">
        <v>2.1235532760620099</v>
      </c>
    </row>
    <row r="260" spans="1:16" x14ac:dyDescent="0.25">
      <c r="A260" t="s">
        <v>69</v>
      </c>
      <c r="B260" s="1" t="s">
        <v>39</v>
      </c>
      <c r="C260">
        <v>2007</v>
      </c>
      <c r="D260">
        <v>402643260487.5719</v>
      </c>
      <c r="E260">
        <v>165276796833.68307</v>
      </c>
      <c r="F260">
        <v>2525906</v>
      </c>
      <c r="G260">
        <f t="shared" si="16"/>
        <v>26.721316797155353</v>
      </c>
      <c r="H260">
        <f t="shared" si="16"/>
        <v>25.83088746188843</v>
      </c>
      <c r="I260">
        <f t="shared" si="16"/>
        <v>14.742110368215197</v>
      </c>
      <c r="J260">
        <f t="shared" si="17"/>
        <v>11.088777093673233</v>
      </c>
      <c r="K260">
        <v>1.5579400062561</v>
      </c>
      <c r="L260">
        <v>5431</v>
      </c>
      <c r="M260">
        <f t="shared" si="18"/>
        <v>8.5998785580348454</v>
      </c>
      <c r="N260" s="2">
        <v>0.93600000000000005</v>
      </c>
      <c r="O260">
        <v>1.3297703266143801</v>
      </c>
      <c r="P260">
        <v>1.9825838804245</v>
      </c>
    </row>
    <row r="261" spans="1:16" x14ac:dyDescent="0.25">
      <c r="A261" t="s">
        <v>69</v>
      </c>
      <c r="B261" s="1" t="s">
        <v>39</v>
      </c>
      <c r="C261">
        <v>2008</v>
      </c>
      <c r="D261">
        <v>464917553191.48938</v>
      </c>
      <c r="E261">
        <v>201932269503.54611</v>
      </c>
      <c r="F261">
        <v>2603060</v>
      </c>
      <c r="G261">
        <f t="shared" si="16"/>
        <v>26.865125921848843</v>
      </c>
      <c r="H261">
        <f t="shared" si="16"/>
        <v>26.031198178634778</v>
      </c>
      <c r="I261">
        <f t="shared" si="16"/>
        <v>14.772198234037594</v>
      </c>
      <c r="J261">
        <f t="shared" si="17"/>
        <v>11.258999944597184</v>
      </c>
      <c r="K261">
        <v>1.54556000232697</v>
      </c>
      <c r="L261">
        <v>4280</v>
      </c>
      <c r="M261">
        <f t="shared" si="18"/>
        <v>8.3617082885758425</v>
      </c>
      <c r="N261" s="2">
        <v>0.93500000000000005</v>
      </c>
      <c r="O261">
        <v>1.3729007244110101</v>
      </c>
      <c r="P261">
        <v>1.8918757438659699</v>
      </c>
    </row>
    <row r="262" spans="1:16" x14ac:dyDescent="0.25">
      <c r="A262" t="s">
        <v>69</v>
      </c>
      <c r="B262" s="1" t="s">
        <v>39</v>
      </c>
      <c r="C262">
        <v>2009</v>
      </c>
      <c r="D262">
        <v>387976400617.01892</v>
      </c>
      <c r="E262">
        <v>141423437176.97949</v>
      </c>
      <c r="F262">
        <v>2599655</v>
      </c>
      <c r="G262">
        <f t="shared" si="16"/>
        <v>26.68421035156787</v>
      </c>
      <c r="H262">
        <f t="shared" si="16"/>
        <v>25.675024327571737</v>
      </c>
      <c r="I262">
        <f t="shared" si="16"/>
        <v>14.770889301879615</v>
      </c>
      <c r="J262">
        <f t="shared" si="17"/>
        <v>10.904135025692122</v>
      </c>
      <c r="K262">
        <v>1.71677994728088</v>
      </c>
      <c r="L262">
        <v>2358</v>
      </c>
      <c r="M262">
        <f t="shared" si="18"/>
        <v>7.7655690810973166</v>
      </c>
      <c r="N262" s="2">
        <v>0.93500000000000005</v>
      </c>
      <c r="O262">
        <v>1.4649510383605999</v>
      </c>
      <c r="P262">
        <v>1.9849834442138701</v>
      </c>
    </row>
    <row r="263" spans="1:16" x14ac:dyDescent="0.25">
      <c r="A263" t="s">
        <v>69</v>
      </c>
      <c r="B263" s="1" t="s">
        <v>39</v>
      </c>
      <c r="C263">
        <v>2010</v>
      </c>
      <c r="D263">
        <v>431052143940.43817</v>
      </c>
      <c r="E263">
        <v>159703405487.38443</v>
      </c>
      <c r="F263">
        <v>2605230</v>
      </c>
      <c r="G263">
        <f t="shared" si="16"/>
        <v>26.789494903352736</v>
      </c>
      <c r="H263">
        <f t="shared" si="16"/>
        <v>25.796584216219195</v>
      </c>
      <c r="I263">
        <f t="shared" si="16"/>
        <v>14.773031521018758</v>
      </c>
      <c r="J263">
        <f t="shared" si="17"/>
        <v>11.023552695200436</v>
      </c>
      <c r="K263">
        <v>1.6411999464035001</v>
      </c>
      <c r="L263">
        <v>696</v>
      </c>
      <c r="M263">
        <f t="shared" si="18"/>
        <v>6.5453496603344199</v>
      </c>
      <c r="N263" s="2">
        <v>0.93799999999999994</v>
      </c>
      <c r="O263">
        <v>1.5119845867157</v>
      </c>
      <c r="P263">
        <v>2.0772521495819101</v>
      </c>
    </row>
    <row r="264" spans="1:16" x14ac:dyDescent="0.25">
      <c r="A264" t="s">
        <v>69</v>
      </c>
      <c r="B264" s="1" t="s">
        <v>39</v>
      </c>
      <c r="C264">
        <v>2011</v>
      </c>
      <c r="D264">
        <v>501360549669.40381</v>
      </c>
      <c r="E264">
        <v>196382001406.55914</v>
      </c>
      <c r="F264">
        <v>2626987</v>
      </c>
      <c r="G264">
        <f t="shared" si="16"/>
        <v>26.940591339218948</v>
      </c>
      <c r="H264">
        <f t="shared" si="16"/>
        <v>26.003327586134549</v>
      </c>
      <c r="I264">
        <f t="shared" si="16"/>
        <v>14.78134812004485</v>
      </c>
      <c r="J264">
        <f t="shared" si="17"/>
        <v>11.221979466089699</v>
      </c>
      <c r="K264">
        <v>1.6171400547027599</v>
      </c>
      <c r="L264">
        <v>654</v>
      </c>
      <c r="M264">
        <f t="shared" si="18"/>
        <v>6.4831073514571989</v>
      </c>
      <c r="N264" s="2">
        <v>0.94</v>
      </c>
      <c r="O264">
        <v>1.6029695272445701</v>
      </c>
      <c r="P264">
        <v>2.14263248443604</v>
      </c>
    </row>
    <row r="265" spans="1:16" x14ac:dyDescent="0.25">
      <c r="A265" t="s">
        <v>69</v>
      </c>
      <c r="B265" s="1" t="s">
        <v>39</v>
      </c>
      <c r="C265">
        <v>2012</v>
      </c>
      <c r="D265">
        <v>512777309840.99701</v>
      </c>
      <c r="E265">
        <v>204842801890.84659</v>
      </c>
      <c r="F265">
        <v>2673469</v>
      </c>
      <c r="G265">
        <f t="shared" si="16"/>
        <v>26.963107493993959</v>
      </c>
      <c r="H265">
        <f t="shared" si="16"/>
        <v>26.045508701883293</v>
      </c>
      <c r="I265">
        <f t="shared" si="16"/>
        <v>14.798887438016621</v>
      </c>
      <c r="J265">
        <f t="shared" si="17"/>
        <v>11.246621263866672</v>
      </c>
      <c r="K265">
        <v>1.61053001880646</v>
      </c>
      <c r="L265">
        <v>555</v>
      </c>
      <c r="M265">
        <f t="shared" si="18"/>
        <v>6.3189681137464344</v>
      </c>
      <c r="N265" s="2">
        <v>0.94099999999999995</v>
      </c>
      <c r="O265">
        <v>1.53973925113678</v>
      </c>
      <c r="P265">
        <v>2.2479822635650599</v>
      </c>
    </row>
    <row r="266" spans="1:16" x14ac:dyDescent="0.25">
      <c r="A266" t="s">
        <v>69</v>
      </c>
      <c r="B266" s="1" t="s">
        <v>39</v>
      </c>
      <c r="C266">
        <v>2013</v>
      </c>
      <c r="D266">
        <v>526014468085.10638</v>
      </c>
      <c r="E266">
        <v>205553021276.59573</v>
      </c>
      <c r="F266">
        <v>2699916</v>
      </c>
      <c r="G266">
        <f t="shared" si="16"/>
        <v>26.988594555171062</v>
      </c>
      <c r="H266">
        <f t="shared" si="16"/>
        <v>26.048969848681892</v>
      </c>
      <c r="I266">
        <f t="shared" si="16"/>
        <v>14.808731219379485</v>
      </c>
      <c r="J266">
        <f t="shared" si="17"/>
        <v>11.240238629302407</v>
      </c>
      <c r="K266">
        <v>1.6421600580215501</v>
      </c>
      <c r="L266">
        <v>648</v>
      </c>
      <c r="M266">
        <f t="shared" si="18"/>
        <v>6.4738906963522744</v>
      </c>
      <c r="N266" s="2">
        <v>0.94499999999999995</v>
      </c>
      <c r="O266">
        <v>1.6574110984802199</v>
      </c>
      <c r="P266">
        <v>2.2868275642395002</v>
      </c>
    </row>
    <row r="267" spans="1:16" x14ac:dyDescent="0.25">
      <c r="A267" t="s">
        <v>69</v>
      </c>
      <c r="B267" s="1" t="s">
        <v>39</v>
      </c>
      <c r="C267">
        <v>2014</v>
      </c>
      <c r="D267">
        <v>501736471832.84814</v>
      </c>
      <c r="E267">
        <v>188291298598.25433</v>
      </c>
      <c r="F267">
        <v>2724239</v>
      </c>
      <c r="G267">
        <f t="shared" si="16"/>
        <v>26.941340862291959</v>
      </c>
      <c r="H267">
        <f t="shared" si="16"/>
        <v>25.961256061229811</v>
      </c>
      <c r="I267">
        <f t="shared" si="16"/>
        <v>14.817699681022409</v>
      </c>
      <c r="J267">
        <f t="shared" si="17"/>
        <v>11.143556380207402</v>
      </c>
      <c r="K267">
        <v>1.70369005203247</v>
      </c>
      <c r="L267">
        <v>457</v>
      </c>
      <c r="M267">
        <f t="shared" si="18"/>
        <v>6.1246833908942051</v>
      </c>
      <c r="N267" s="2">
        <v>0.94899999999999995</v>
      </c>
      <c r="O267">
        <v>1.6405822038650499</v>
      </c>
      <c r="P267">
        <v>2.2228946685790998</v>
      </c>
    </row>
    <row r="268" spans="1:16" x14ac:dyDescent="0.25">
      <c r="A268" t="s">
        <v>69</v>
      </c>
      <c r="B268" s="1" t="s">
        <v>39</v>
      </c>
      <c r="C268">
        <v>2015</v>
      </c>
      <c r="D268">
        <v>388159512245.53046</v>
      </c>
      <c r="E268">
        <v>130566497881.57481</v>
      </c>
      <c r="F268">
        <v>2762042</v>
      </c>
      <c r="G268">
        <f t="shared" si="16"/>
        <v>26.684682206120335</v>
      </c>
      <c r="H268">
        <f t="shared" si="16"/>
        <v>25.595148496237289</v>
      </c>
      <c r="I268">
        <f t="shared" si="16"/>
        <v>14.831480819207952</v>
      </c>
      <c r="J268">
        <f t="shared" si="17"/>
        <v>10.763667677029337</v>
      </c>
      <c r="K268">
        <v>1.92349994182587</v>
      </c>
      <c r="L268">
        <v>652</v>
      </c>
      <c r="M268">
        <f t="shared" si="18"/>
        <v>6.4800445619266531</v>
      </c>
      <c r="N268" s="2">
        <v>0.95199999999999996</v>
      </c>
      <c r="O268">
        <v>1.5946509838104199</v>
      </c>
      <c r="P268">
        <v>2.2004222869872998</v>
      </c>
    </row>
    <row r="269" spans="1:16" x14ac:dyDescent="0.25">
      <c r="A269" t="s">
        <v>69</v>
      </c>
      <c r="B269" s="1" t="s">
        <v>39</v>
      </c>
      <c r="C269">
        <v>2016</v>
      </c>
      <c r="D269">
        <v>370956547619.04761</v>
      </c>
      <c r="E269">
        <v>113089285714.28571</v>
      </c>
      <c r="F269">
        <v>2769692</v>
      </c>
      <c r="G269">
        <f t="shared" si="16"/>
        <v>26.639350770373866</v>
      </c>
      <c r="H269">
        <f t="shared" si="16"/>
        <v>25.451443482727694</v>
      </c>
      <c r="I269">
        <f t="shared" si="16"/>
        <v>14.834246680645567</v>
      </c>
      <c r="J269">
        <f t="shared" si="17"/>
        <v>10.617196802082127</v>
      </c>
      <c r="K269">
        <v>2.032870054245</v>
      </c>
      <c r="L269">
        <v>833</v>
      </c>
      <c r="M269">
        <f t="shared" si="18"/>
        <v>6.7250336421668431</v>
      </c>
      <c r="N269" s="2">
        <v>0.95599999999999996</v>
      </c>
      <c r="O269">
        <v>1.6863489151001001</v>
      </c>
      <c r="P269">
        <v>2.1493716239929199</v>
      </c>
    </row>
    <row r="270" spans="1:16" x14ac:dyDescent="0.25">
      <c r="A270" t="s">
        <v>69</v>
      </c>
      <c r="B270" s="1" t="s">
        <v>39</v>
      </c>
      <c r="C270">
        <v>2017</v>
      </c>
      <c r="D270">
        <v>401745275035.26074</v>
      </c>
      <c r="E270">
        <v>128191335885.55304</v>
      </c>
      <c r="F270">
        <v>2760886</v>
      </c>
      <c r="G270">
        <f t="shared" si="16"/>
        <v>26.719084080537215</v>
      </c>
      <c r="H270">
        <f t="shared" si="16"/>
        <v>25.576789796353161</v>
      </c>
      <c r="I270">
        <f t="shared" si="16"/>
        <v>14.831062200671958</v>
      </c>
      <c r="J270">
        <f t="shared" si="17"/>
        <v>10.745727595681203</v>
      </c>
      <c r="K270">
        <v>2.0816700458526598</v>
      </c>
      <c r="L270">
        <v>908</v>
      </c>
      <c r="M270">
        <f t="shared" si="18"/>
        <v>6.8112443786012937</v>
      </c>
      <c r="N270" s="2">
        <v>0.95899999999999996</v>
      </c>
      <c r="O270">
        <v>1.8050924539566</v>
      </c>
      <c r="P270">
        <v>2.1904749870300302</v>
      </c>
    </row>
    <row r="271" spans="1:16" x14ac:dyDescent="0.25">
      <c r="A271" t="s">
        <v>69</v>
      </c>
      <c r="B271" s="1" t="s">
        <v>39</v>
      </c>
      <c r="C271">
        <v>2018</v>
      </c>
      <c r="D271">
        <v>439788625883.79956</v>
      </c>
      <c r="E271">
        <v>150257116507.8389</v>
      </c>
      <c r="F271">
        <v>2796121</v>
      </c>
      <c r="G271">
        <f t="shared" si="16"/>
        <v>26.809560052713088</v>
      </c>
      <c r="H271">
        <f t="shared" si="16"/>
        <v>25.735613773684918</v>
      </c>
      <c r="I271">
        <f t="shared" si="16"/>
        <v>14.843743657508181</v>
      </c>
      <c r="J271">
        <f t="shared" si="17"/>
        <v>10.891870116176737</v>
      </c>
      <c r="K271">
        <v>2.0348200798034699</v>
      </c>
      <c r="L271">
        <v>592</v>
      </c>
      <c r="M271">
        <f t="shared" si="18"/>
        <v>6.3835066348840055</v>
      </c>
      <c r="N271" s="2">
        <v>0.96</v>
      </c>
      <c r="O271">
        <v>1.7841882705688501</v>
      </c>
      <c r="P271">
        <v>2.0501170158386199</v>
      </c>
    </row>
    <row r="272" spans="1:16" x14ac:dyDescent="0.25">
      <c r="A272" t="s">
        <v>69</v>
      </c>
      <c r="B272" s="1" t="s">
        <v>39</v>
      </c>
      <c r="C272">
        <v>2019</v>
      </c>
      <c r="D272">
        <v>408742840909.09088</v>
      </c>
      <c r="E272">
        <v>130787499999.99998</v>
      </c>
      <c r="F272">
        <v>2825244</v>
      </c>
      <c r="G272">
        <f t="shared" si="16"/>
        <v>26.736352044408996</v>
      </c>
      <c r="H272">
        <f t="shared" si="16"/>
        <v>25.596839705653576</v>
      </c>
      <c r="I272">
        <f t="shared" si="16"/>
        <v>14.854105290514275</v>
      </c>
      <c r="J272">
        <f t="shared" si="17"/>
        <v>10.742734415139301</v>
      </c>
      <c r="K272">
        <v>2.1359999179840101</v>
      </c>
      <c r="L272">
        <v>582</v>
      </c>
      <c r="M272">
        <f t="shared" si="18"/>
        <v>6.3664704477314382</v>
      </c>
      <c r="N272" s="2">
        <v>0.96099999999999997</v>
      </c>
      <c r="O272">
        <v>1.7978940010070801</v>
      </c>
      <c r="P272">
        <v>2.03383588790894</v>
      </c>
    </row>
    <row r="273" spans="1:16" x14ac:dyDescent="0.25">
      <c r="A273" t="s">
        <v>69</v>
      </c>
      <c r="B273" s="1" t="s">
        <v>39</v>
      </c>
      <c r="C273">
        <v>2020</v>
      </c>
      <c r="D273">
        <v>367633418886.62726</v>
      </c>
      <c r="E273">
        <v>111829825648.28751</v>
      </c>
      <c r="F273">
        <v>2832047</v>
      </c>
      <c r="G273">
        <f t="shared" si="16"/>
        <v>26.630352134304022</v>
      </c>
      <c r="H273">
        <f t="shared" si="16"/>
        <v>25.440244138907115</v>
      </c>
      <c r="I273">
        <f t="shared" si="16"/>
        <v>14.856510329703232</v>
      </c>
      <c r="J273">
        <f t="shared" si="17"/>
        <v>10.583733809203883</v>
      </c>
      <c r="K273">
        <v>2.2443599700927699</v>
      </c>
      <c r="L273">
        <v>564</v>
      </c>
      <c r="M273">
        <f t="shared" si="18"/>
        <v>6.3350542514980592</v>
      </c>
      <c r="N273" s="2">
        <v>0.96299999999999997</v>
      </c>
      <c r="O273">
        <v>1.69426965713501</v>
      </c>
      <c r="P273">
        <v>2.0658538341522199</v>
      </c>
    </row>
    <row r="274" spans="1:16" x14ac:dyDescent="0.25">
      <c r="A274" t="s">
        <v>107</v>
      </c>
      <c r="B274" s="1" t="s">
        <v>28</v>
      </c>
      <c r="C274">
        <v>2005</v>
      </c>
      <c r="D274">
        <v>306145944824.9303</v>
      </c>
      <c r="E274">
        <v>56883933557.988098</v>
      </c>
      <c r="F274">
        <v>17594853</v>
      </c>
      <c r="G274">
        <f t="shared" si="16"/>
        <v>26.447327769069535</v>
      </c>
      <c r="H274">
        <f t="shared" si="16"/>
        <v>24.764278775429812</v>
      </c>
      <c r="I274">
        <f t="shared" si="16"/>
        <v>16.683116974056716</v>
      </c>
      <c r="J274">
        <f t="shared" si="17"/>
        <v>8.0811618013730957</v>
      </c>
      <c r="K274">
        <v>0.56278002262115501</v>
      </c>
      <c r="L274">
        <v>4555</v>
      </c>
      <c r="M274">
        <f t="shared" si="18"/>
        <v>8.4239808096940578</v>
      </c>
      <c r="N274" s="2">
        <v>0.81899999999999995</v>
      </c>
      <c r="O274">
        <v>0.81251776218414296</v>
      </c>
      <c r="P274">
        <v>0.24751865863799999</v>
      </c>
    </row>
    <row r="275" spans="1:16" x14ac:dyDescent="0.25">
      <c r="A275" t="s">
        <v>107</v>
      </c>
      <c r="B275" s="1" t="s">
        <v>28</v>
      </c>
      <c r="C275">
        <v>2006</v>
      </c>
      <c r="D275">
        <v>344626667414.29211</v>
      </c>
      <c r="E275">
        <v>66683681591.462631</v>
      </c>
      <c r="F275">
        <v>17372553</v>
      </c>
      <c r="G275">
        <f t="shared" si="16"/>
        <v>26.565727544622643</v>
      </c>
      <c r="H275">
        <f t="shared" si="16"/>
        <v>24.923226106134205</v>
      </c>
      <c r="I275">
        <f t="shared" si="16"/>
        <v>16.670402104964641</v>
      </c>
      <c r="J275">
        <f t="shared" si="17"/>
        <v>8.2528240011695644</v>
      </c>
      <c r="K275">
        <v>0.55102002620696999</v>
      </c>
      <c r="L275">
        <v>655</v>
      </c>
      <c r="M275">
        <f t="shared" si="18"/>
        <v>6.4846352356352517</v>
      </c>
      <c r="N275" s="2">
        <v>0.82399999999999995</v>
      </c>
      <c r="O275">
        <v>0.70159858465194702</v>
      </c>
      <c r="P275">
        <v>0.25655055046081499</v>
      </c>
    </row>
    <row r="276" spans="1:16" x14ac:dyDescent="0.25">
      <c r="A276" t="s">
        <v>107</v>
      </c>
      <c r="B276" s="1" t="s">
        <v>28</v>
      </c>
      <c r="C276">
        <v>2007</v>
      </c>
      <c r="D276">
        <v>429020755432.72101</v>
      </c>
      <c r="E276">
        <v>91796455860.835632</v>
      </c>
      <c r="F276">
        <v>17358009</v>
      </c>
      <c r="G276">
        <f t="shared" si="16"/>
        <v>26.784771135666162</v>
      </c>
      <c r="H276">
        <f t="shared" si="16"/>
        <v>25.242839526647138</v>
      </c>
      <c r="I276">
        <f t="shared" si="16"/>
        <v>16.669564571679107</v>
      </c>
      <c r="J276">
        <f t="shared" si="17"/>
        <v>8.5732749549680314</v>
      </c>
      <c r="K276">
        <v>0.56193000078201305</v>
      </c>
      <c r="L276">
        <v>361</v>
      </c>
      <c r="M276">
        <f t="shared" si="18"/>
        <v>5.8888779583328805</v>
      </c>
      <c r="N276" s="2">
        <v>0.82799999999999996</v>
      </c>
      <c r="O276">
        <v>0.76865667104721103</v>
      </c>
      <c r="P276">
        <v>0.28381398320198098</v>
      </c>
    </row>
    <row r="277" spans="1:16" x14ac:dyDescent="0.25">
      <c r="A277" t="s">
        <v>107</v>
      </c>
      <c r="B277" s="1" t="s">
        <v>28</v>
      </c>
      <c r="C277">
        <v>2008</v>
      </c>
      <c r="D277">
        <v>533599779515.7149</v>
      </c>
      <c r="E277">
        <v>103374837396.99043</v>
      </c>
      <c r="F277">
        <v>17577553</v>
      </c>
      <c r="G277">
        <f t="shared" si="16"/>
        <v>27.002911918346307</v>
      </c>
      <c r="H277">
        <f t="shared" si="16"/>
        <v>25.361627417345769</v>
      </c>
      <c r="I277">
        <f t="shared" si="16"/>
        <v>16.682133248269228</v>
      </c>
      <c r="J277">
        <f t="shared" si="17"/>
        <v>8.6794941690765413</v>
      </c>
      <c r="K277">
        <v>0.59943997859954801</v>
      </c>
      <c r="L277">
        <v>290</v>
      </c>
      <c r="M277">
        <f t="shared" si="18"/>
        <v>5.6698809229805196</v>
      </c>
      <c r="N277" s="2">
        <v>0.83399999999999996</v>
      </c>
      <c r="O277">
        <v>0.84426158666610696</v>
      </c>
      <c r="P277">
        <v>0.45276749134063698</v>
      </c>
    </row>
    <row r="278" spans="1:16" x14ac:dyDescent="0.25">
      <c r="A278" t="s">
        <v>107</v>
      </c>
      <c r="B278" s="1" t="s">
        <v>28</v>
      </c>
      <c r="C278">
        <v>2009</v>
      </c>
      <c r="D278">
        <v>439731589139.21228</v>
      </c>
      <c r="E278">
        <v>86085184584.54776</v>
      </c>
      <c r="F278">
        <v>17842910</v>
      </c>
      <c r="G278">
        <f t="shared" si="16"/>
        <v>26.809430353034347</v>
      </c>
      <c r="H278">
        <f t="shared" si="16"/>
        <v>25.178603161385219</v>
      </c>
      <c r="I278">
        <f t="shared" si="16"/>
        <v>16.697116788405999</v>
      </c>
      <c r="J278">
        <f t="shared" si="17"/>
        <v>8.4814863729792194</v>
      </c>
      <c r="K278">
        <v>0.66105997562408403</v>
      </c>
      <c r="L278">
        <v>241</v>
      </c>
      <c r="M278">
        <f t="shared" si="18"/>
        <v>5.4847969334906548</v>
      </c>
      <c r="N278" s="2">
        <v>0.83799999999999997</v>
      </c>
      <c r="O278">
        <v>0.97662240266799905</v>
      </c>
      <c r="P278">
        <v>0.43509984016418501</v>
      </c>
    </row>
    <row r="279" spans="1:16" x14ac:dyDescent="0.25">
      <c r="A279" t="s">
        <v>107</v>
      </c>
      <c r="B279" s="1" t="s">
        <v>28</v>
      </c>
      <c r="C279">
        <v>2010</v>
      </c>
      <c r="D279">
        <v>475696613935.59515</v>
      </c>
      <c r="E279">
        <v>88511590886.478958</v>
      </c>
      <c r="F279">
        <v>18055100</v>
      </c>
      <c r="G279">
        <f t="shared" si="16"/>
        <v>26.888046122292454</v>
      </c>
      <c r="H279">
        <f t="shared" si="16"/>
        <v>25.206399350853101</v>
      </c>
      <c r="I279">
        <f t="shared" si="16"/>
        <v>16.708938751310313</v>
      </c>
      <c r="J279">
        <f t="shared" si="17"/>
        <v>8.4974605995427872</v>
      </c>
      <c r="K279">
        <v>0.72618997097015403</v>
      </c>
      <c r="L279">
        <v>227</v>
      </c>
      <c r="M279">
        <f t="shared" si="18"/>
        <v>5.4249500174814029</v>
      </c>
      <c r="N279" s="2">
        <v>0.84499999999999997</v>
      </c>
      <c r="O279">
        <v>1.0231587886810301</v>
      </c>
      <c r="P279">
        <v>0.51373672485351596</v>
      </c>
    </row>
    <row r="280" spans="1:16" x14ac:dyDescent="0.25">
      <c r="A280" t="s">
        <v>107</v>
      </c>
      <c r="B280" s="1" t="s">
        <v>28</v>
      </c>
      <c r="C280">
        <v>2011</v>
      </c>
      <c r="D280">
        <v>524374183218.30884</v>
      </c>
      <c r="E280">
        <v>106536008597.13356</v>
      </c>
      <c r="F280">
        <v>18149148</v>
      </c>
      <c r="G280">
        <f t="shared" si="16"/>
        <v>26.985471356537698</v>
      </c>
      <c r="H280">
        <f t="shared" si="16"/>
        <v>25.391748873843234</v>
      </c>
      <c r="I280">
        <f t="shared" si="16"/>
        <v>16.714134175424558</v>
      </c>
      <c r="J280">
        <f t="shared" si="17"/>
        <v>8.6776146984186759</v>
      </c>
      <c r="K280">
        <v>0.75221002101898204</v>
      </c>
      <c r="L280">
        <v>244</v>
      </c>
      <c r="M280">
        <f t="shared" si="18"/>
        <v>5.4971682252932021</v>
      </c>
      <c r="N280" s="2">
        <v>0.85099999999999998</v>
      </c>
      <c r="O280">
        <v>0.958582043647766</v>
      </c>
      <c r="P280">
        <v>0.56247568130493197</v>
      </c>
    </row>
    <row r="281" spans="1:16" x14ac:dyDescent="0.25">
      <c r="A281" t="s">
        <v>107</v>
      </c>
      <c r="B281" s="1" t="s">
        <v>28</v>
      </c>
      <c r="C281">
        <v>2012</v>
      </c>
      <c r="D281">
        <v>495230523665.90082</v>
      </c>
      <c r="E281">
        <v>100321445263.10423</v>
      </c>
      <c r="F281">
        <v>18268758</v>
      </c>
      <c r="G281">
        <f t="shared" si="16"/>
        <v>26.92828919548403</v>
      </c>
      <c r="H281">
        <f t="shared" si="16"/>
        <v>25.331645320257394</v>
      </c>
      <c r="I281">
        <f t="shared" si="16"/>
        <v>16.720702945747856</v>
      </c>
      <c r="J281">
        <f t="shared" si="17"/>
        <v>8.6109423745095377</v>
      </c>
      <c r="K281">
        <v>0.88997000455856301</v>
      </c>
      <c r="L281">
        <v>247</v>
      </c>
      <c r="M281">
        <f t="shared" si="18"/>
        <v>5.5093883366279774</v>
      </c>
      <c r="N281" s="2">
        <v>0.85499999999999998</v>
      </c>
      <c r="O281">
        <v>0.99639576673507702</v>
      </c>
      <c r="P281">
        <v>0.65975362062454201</v>
      </c>
    </row>
    <row r="282" spans="1:16" x14ac:dyDescent="0.25">
      <c r="A282" t="s">
        <v>107</v>
      </c>
      <c r="B282" s="1" t="s">
        <v>28</v>
      </c>
      <c r="C282">
        <v>2013</v>
      </c>
      <c r="D282">
        <v>515761954074.1571</v>
      </c>
      <c r="E282">
        <v>105644878832.20271</v>
      </c>
      <c r="F282">
        <v>18287361</v>
      </c>
      <c r="G282">
        <f t="shared" si="16"/>
        <v>26.968911166669219</v>
      </c>
      <c r="H282">
        <f t="shared" si="16"/>
        <v>25.383349106877663</v>
      </c>
      <c r="I282">
        <f t="shared" si="16"/>
        <v>16.721720723461399</v>
      </c>
      <c r="J282">
        <f t="shared" si="17"/>
        <v>8.6616283834162644</v>
      </c>
      <c r="K282">
        <v>0.88482999801635698</v>
      </c>
      <c r="L282">
        <v>174</v>
      </c>
      <c r="M282">
        <f t="shared" si="18"/>
        <v>5.1590552992145291</v>
      </c>
      <c r="N282" s="2">
        <v>0.86499999999999999</v>
      </c>
      <c r="O282">
        <v>1.0526145696639999</v>
      </c>
      <c r="P282">
        <v>0.64588093757629395</v>
      </c>
    </row>
    <row r="283" spans="1:16" x14ac:dyDescent="0.25">
      <c r="A283" t="s">
        <v>107</v>
      </c>
      <c r="B283" s="1" t="s">
        <v>28</v>
      </c>
      <c r="C283">
        <v>2014</v>
      </c>
      <c r="D283">
        <v>539080475073.71906</v>
      </c>
      <c r="E283">
        <v>115274103182.015</v>
      </c>
      <c r="F283">
        <v>18392967</v>
      </c>
      <c r="G283">
        <f t="shared" si="16"/>
        <v>27.013130701114548</v>
      </c>
      <c r="H283">
        <f t="shared" si="16"/>
        <v>25.470578635195558</v>
      </c>
      <c r="I283">
        <f t="shared" si="16"/>
        <v>16.727478921250505</v>
      </c>
      <c r="J283">
        <f t="shared" si="17"/>
        <v>8.7430997139450533</v>
      </c>
      <c r="K283">
        <v>0.95076000690460205</v>
      </c>
      <c r="L283">
        <v>155</v>
      </c>
      <c r="M283">
        <f t="shared" si="18"/>
        <v>5.0434251169192468</v>
      </c>
      <c r="N283" s="2">
        <v>0.86699999999999999</v>
      </c>
      <c r="O283">
        <v>1.06331539154053</v>
      </c>
      <c r="P283">
        <v>0.682209432125092</v>
      </c>
    </row>
    <row r="284" spans="1:16" x14ac:dyDescent="0.25">
      <c r="A284" t="s">
        <v>107</v>
      </c>
      <c r="B284" s="1" t="s">
        <v>28</v>
      </c>
      <c r="C284">
        <v>2015</v>
      </c>
      <c r="D284">
        <v>477111287969.22668</v>
      </c>
      <c r="E284">
        <v>110047486404.03236</v>
      </c>
      <c r="F284">
        <v>18332404</v>
      </c>
      <c r="G284">
        <f t="shared" si="16"/>
        <v>26.891015608734232</v>
      </c>
      <c r="H284">
        <f t="shared" si="16"/>
        <v>25.424177804167641</v>
      </c>
      <c r="I284">
        <f t="shared" si="16"/>
        <v>16.724180762334719</v>
      </c>
      <c r="J284">
        <f t="shared" si="17"/>
        <v>8.6999970418329227</v>
      </c>
      <c r="K284">
        <v>1.0042300224304199</v>
      </c>
      <c r="L284">
        <v>139</v>
      </c>
      <c r="M284">
        <f t="shared" si="18"/>
        <v>4.9344739331306915</v>
      </c>
      <c r="N284" s="2">
        <v>0.86899999999999999</v>
      </c>
      <c r="O284">
        <v>0.95463442802429199</v>
      </c>
      <c r="P284">
        <v>0.69476002454757702</v>
      </c>
    </row>
    <row r="285" spans="1:16" x14ac:dyDescent="0.25">
      <c r="A285" t="s">
        <v>107</v>
      </c>
      <c r="B285" s="1" t="s">
        <v>28</v>
      </c>
      <c r="C285">
        <v>2016</v>
      </c>
      <c r="D285">
        <v>470024599375.61871</v>
      </c>
      <c r="E285">
        <v>109135349320.51802</v>
      </c>
      <c r="F285">
        <v>18371736</v>
      </c>
      <c r="G285">
        <f t="shared" si="16"/>
        <v>26.876050869377934</v>
      </c>
      <c r="H285">
        <f t="shared" si="16"/>
        <v>25.415854685743415</v>
      </c>
      <c r="I285">
        <f t="shared" si="16"/>
        <v>16.726323954631564</v>
      </c>
      <c r="J285">
        <f t="shared" si="17"/>
        <v>8.6895307311118515</v>
      </c>
      <c r="K285">
        <v>0.96820998191833496</v>
      </c>
      <c r="L285">
        <v>135</v>
      </c>
      <c r="M285">
        <f t="shared" si="18"/>
        <v>4.9052747784384296</v>
      </c>
      <c r="N285" s="2">
        <v>0.872</v>
      </c>
      <c r="O285">
        <v>0.90623205900192305</v>
      </c>
      <c r="P285">
        <v>0.759663045406342</v>
      </c>
    </row>
    <row r="286" spans="1:16" x14ac:dyDescent="0.25">
      <c r="A286" t="s">
        <v>107</v>
      </c>
      <c r="B286" s="1" t="s">
        <v>28</v>
      </c>
      <c r="C286">
        <v>2017</v>
      </c>
      <c r="D286">
        <v>524641252834.82562</v>
      </c>
      <c r="E286">
        <v>119887556878.42273</v>
      </c>
      <c r="F286">
        <v>18432689</v>
      </c>
      <c r="G286">
        <f t="shared" si="16"/>
        <v>26.985980538029427</v>
      </c>
      <c r="H286">
        <f t="shared" si="16"/>
        <v>25.509820114432003</v>
      </c>
      <c r="I286">
        <f t="shared" si="16"/>
        <v>16.729636222421476</v>
      </c>
      <c r="J286">
        <f t="shared" si="17"/>
        <v>8.7801838920105268</v>
      </c>
      <c r="K286">
        <v>1.0378500223159799</v>
      </c>
      <c r="L286">
        <v>117</v>
      </c>
      <c r="M286">
        <f t="shared" si="18"/>
        <v>4.7621739347977563</v>
      </c>
      <c r="N286" s="2">
        <v>0.874</v>
      </c>
      <c r="O286">
        <v>0.80498832464218095</v>
      </c>
      <c r="P286">
        <v>0.69880217313766502</v>
      </c>
    </row>
    <row r="287" spans="1:16" x14ac:dyDescent="0.25">
      <c r="A287" t="s">
        <v>107</v>
      </c>
      <c r="B287" s="1" t="s">
        <v>28</v>
      </c>
      <c r="C287">
        <v>2018</v>
      </c>
      <c r="D287">
        <v>588779796423.69543</v>
      </c>
      <c r="E287">
        <v>138337527552.68478</v>
      </c>
      <c r="F287">
        <v>18388899</v>
      </c>
      <c r="G287">
        <f t="shared" si="16"/>
        <v>27.101318090633264</v>
      </c>
      <c r="H287">
        <f t="shared" si="16"/>
        <v>25.65296238770733</v>
      </c>
      <c r="I287">
        <f t="shared" si="16"/>
        <v>16.727257725293963</v>
      </c>
      <c r="J287">
        <f t="shared" si="17"/>
        <v>8.9257046624133665</v>
      </c>
      <c r="K287">
        <v>1.20609998703003</v>
      </c>
      <c r="L287">
        <v>115</v>
      </c>
      <c r="M287">
        <f t="shared" si="18"/>
        <v>4.7449321283632502</v>
      </c>
      <c r="N287" s="2">
        <v>0.876</v>
      </c>
      <c r="O287">
        <v>0.874214768409729</v>
      </c>
      <c r="P287">
        <v>0.62305665016174305</v>
      </c>
    </row>
    <row r="288" spans="1:16" x14ac:dyDescent="0.25">
      <c r="A288" t="s">
        <v>107</v>
      </c>
      <c r="B288" s="1" t="s">
        <v>28</v>
      </c>
      <c r="C288">
        <v>2019</v>
      </c>
      <c r="D288">
        <v>596058473058.76611</v>
      </c>
      <c r="E288">
        <v>144237017743.77341</v>
      </c>
      <c r="F288">
        <v>18327422</v>
      </c>
      <c r="G288">
        <f t="shared" si="16"/>
        <v>27.113604608358376</v>
      </c>
      <c r="H288">
        <f t="shared" si="16"/>
        <v>25.694723739974467</v>
      </c>
      <c r="I288">
        <f t="shared" si="16"/>
        <v>16.723908966171219</v>
      </c>
      <c r="J288">
        <f t="shared" si="17"/>
        <v>8.970814773803248</v>
      </c>
      <c r="K288">
        <v>1.3233499526977499</v>
      </c>
      <c r="L288">
        <v>112</v>
      </c>
      <c r="M288">
        <f t="shared" si="18"/>
        <v>4.7184988712950942</v>
      </c>
      <c r="N288" s="2">
        <v>0.88</v>
      </c>
      <c r="O288">
        <v>1.01351165771484</v>
      </c>
      <c r="P288">
        <v>0.61098921298980702</v>
      </c>
    </row>
    <row r="289" spans="1:16" x14ac:dyDescent="0.25">
      <c r="A289" t="s">
        <v>107</v>
      </c>
      <c r="B289" s="1" t="s">
        <v>28</v>
      </c>
      <c r="C289">
        <v>2020</v>
      </c>
      <c r="D289">
        <v>599442732365.37195</v>
      </c>
      <c r="E289">
        <v>146365580081.96442</v>
      </c>
      <c r="F289">
        <v>18245536</v>
      </c>
      <c r="G289">
        <f t="shared" si="16"/>
        <v>27.119266281188683</v>
      </c>
      <c r="H289">
        <f t="shared" si="16"/>
        <v>25.709373302101479</v>
      </c>
      <c r="I289">
        <f t="shared" si="16"/>
        <v>16.719431005332918</v>
      </c>
      <c r="J289">
        <f t="shared" si="17"/>
        <v>8.9899422967685609</v>
      </c>
      <c r="K289">
        <v>1.38608002662659</v>
      </c>
      <c r="L289">
        <v>88</v>
      </c>
      <c r="M289">
        <f t="shared" si="18"/>
        <v>4.4773368144782069</v>
      </c>
      <c r="N289" s="2">
        <v>0.874</v>
      </c>
      <c r="O289">
        <v>0.85068196058273304</v>
      </c>
      <c r="P289">
        <v>0.618777275085449</v>
      </c>
    </row>
    <row r="290" spans="1:16" x14ac:dyDescent="0.25">
      <c r="A290" t="s">
        <v>19</v>
      </c>
      <c r="B290" s="1" t="s">
        <v>70</v>
      </c>
      <c r="C290">
        <v>2005</v>
      </c>
      <c r="D290">
        <v>197253876704.9213</v>
      </c>
      <c r="E290">
        <v>28764437014.910473</v>
      </c>
      <c r="F290">
        <v>5464806</v>
      </c>
      <c r="G290">
        <f t="shared" si="16"/>
        <v>26.007757450243123</v>
      </c>
      <c r="H290">
        <f t="shared" si="16"/>
        <v>24.082405635191481</v>
      </c>
      <c r="I290">
        <f t="shared" si="16"/>
        <v>15.513839180335054</v>
      </c>
      <c r="J290">
        <f t="shared" si="17"/>
        <v>8.5685664548564269</v>
      </c>
      <c r="K290">
        <v>0.75755000114440896</v>
      </c>
      <c r="L290">
        <v>47</v>
      </c>
      <c r="M290">
        <f t="shared" si="18"/>
        <v>3.8501476017100584</v>
      </c>
      <c r="N290" s="2">
        <v>0.81299999999999994</v>
      </c>
      <c r="O290">
        <v>1.27926909923553</v>
      </c>
      <c r="P290">
        <v>1.06187832355499</v>
      </c>
    </row>
    <row r="291" spans="1:16" x14ac:dyDescent="0.25">
      <c r="A291" t="s">
        <v>19</v>
      </c>
      <c r="B291" s="1" t="s">
        <v>70</v>
      </c>
      <c r="C291">
        <v>2006</v>
      </c>
      <c r="D291">
        <v>208756449275.84793</v>
      </c>
      <c r="E291">
        <v>31508506650.769367</v>
      </c>
      <c r="F291">
        <v>5500215</v>
      </c>
      <c r="G291">
        <f t="shared" si="16"/>
        <v>26.064434094934743</v>
      </c>
      <c r="H291">
        <f t="shared" si="16"/>
        <v>24.173523398725788</v>
      </c>
      <c r="I291">
        <f t="shared" si="16"/>
        <v>15.520297740347761</v>
      </c>
      <c r="J291">
        <f t="shared" si="17"/>
        <v>8.6532256583780267</v>
      </c>
      <c r="K291">
        <v>0.95447999238967896</v>
      </c>
      <c r="L291">
        <v>36</v>
      </c>
      <c r="M291">
        <f t="shared" si="18"/>
        <v>3.5835189384561099</v>
      </c>
      <c r="N291" s="2">
        <v>0.81899999999999995</v>
      </c>
      <c r="O291">
        <v>1.06492900848389</v>
      </c>
      <c r="P291">
        <v>1.0092357397079501</v>
      </c>
    </row>
    <row r="292" spans="1:16" x14ac:dyDescent="0.25">
      <c r="A292" t="s">
        <v>19</v>
      </c>
      <c r="B292" s="1" t="s">
        <v>70</v>
      </c>
      <c r="C292">
        <v>2007</v>
      </c>
      <c r="D292">
        <v>240496147317.38077</v>
      </c>
      <c r="E292">
        <v>37378242620.37973</v>
      </c>
      <c r="F292">
        <v>5534266</v>
      </c>
      <c r="G292">
        <f t="shared" si="16"/>
        <v>26.205969906893564</v>
      </c>
      <c r="H292">
        <f t="shared" si="16"/>
        <v>24.344354623967615</v>
      </c>
      <c r="I292">
        <f t="shared" si="16"/>
        <v>15.526469504671864</v>
      </c>
      <c r="J292">
        <f t="shared" si="17"/>
        <v>8.8178851192957506</v>
      </c>
      <c r="K292">
        <v>1.1241699457168599</v>
      </c>
      <c r="L292">
        <v>31</v>
      </c>
      <c r="M292">
        <f t="shared" si="18"/>
        <v>3.4339872044851463</v>
      </c>
      <c r="N292" s="2">
        <v>0.82199999999999995</v>
      </c>
      <c r="O292">
        <v>1.0814077854156501</v>
      </c>
      <c r="P292">
        <v>1.02880275249481</v>
      </c>
    </row>
    <row r="293" spans="1:16" x14ac:dyDescent="0.25">
      <c r="A293" t="s">
        <v>19</v>
      </c>
      <c r="B293" s="1" t="s">
        <v>70</v>
      </c>
      <c r="C293">
        <v>2008</v>
      </c>
      <c r="D293">
        <v>263416394624.08353</v>
      </c>
      <c r="E293">
        <v>36946542213.331245</v>
      </c>
      <c r="F293">
        <v>5535756</v>
      </c>
      <c r="G293">
        <f t="shared" si="16"/>
        <v>26.297001866627213</v>
      </c>
      <c r="H293">
        <f t="shared" si="16"/>
        <v>24.332737899808308</v>
      </c>
      <c r="I293">
        <f t="shared" si="16"/>
        <v>15.526738700163795</v>
      </c>
      <c r="J293">
        <f t="shared" si="17"/>
        <v>8.8059991996445124</v>
      </c>
      <c r="K293">
        <v>1.4433499574661299</v>
      </c>
      <c r="L293">
        <v>24</v>
      </c>
      <c r="M293">
        <f t="shared" si="18"/>
        <v>3.1780538303479458</v>
      </c>
      <c r="N293" s="2">
        <v>0.82499999999999996</v>
      </c>
      <c r="O293">
        <v>1.1005507707595801</v>
      </c>
      <c r="P293">
        <v>1.0592302083969101</v>
      </c>
    </row>
    <row r="294" spans="1:16" x14ac:dyDescent="0.25">
      <c r="A294" t="s">
        <v>19</v>
      </c>
      <c r="B294" s="1" t="s">
        <v>70</v>
      </c>
      <c r="C294">
        <v>2009</v>
      </c>
      <c r="D294">
        <v>244667762835.54318</v>
      </c>
      <c r="E294">
        <v>34100078611.680447</v>
      </c>
      <c r="F294">
        <v>5490080</v>
      </c>
      <c r="G294">
        <f t="shared" si="16"/>
        <v>26.223167057137044</v>
      </c>
      <c r="H294">
        <f t="shared" si="16"/>
        <v>24.252565526561096</v>
      </c>
      <c r="I294">
        <f t="shared" si="16"/>
        <v>15.518453385328542</v>
      </c>
      <c r="J294">
        <f t="shared" si="17"/>
        <v>8.7341121412325542</v>
      </c>
      <c r="K294">
        <v>1.5800100564956701</v>
      </c>
      <c r="L294">
        <v>46</v>
      </c>
      <c r="M294">
        <f t="shared" si="18"/>
        <v>3.8286413964890951</v>
      </c>
      <c r="N294" s="2">
        <v>0.82699999999999996</v>
      </c>
      <c r="O294">
        <v>0.98944813013076804</v>
      </c>
      <c r="P294">
        <v>1.08558297157288</v>
      </c>
    </row>
    <row r="295" spans="1:16" x14ac:dyDescent="0.25">
      <c r="A295" t="s">
        <v>19</v>
      </c>
      <c r="B295" s="1" t="s">
        <v>70</v>
      </c>
      <c r="C295">
        <v>2010</v>
      </c>
      <c r="D295">
        <v>238113003233.28378</v>
      </c>
      <c r="E295">
        <v>32100784052.166729</v>
      </c>
      <c r="F295">
        <v>5491635</v>
      </c>
      <c r="G295">
        <f t="shared" si="16"/>
        <v>26.196011201435564</v>
      </c>
      <c r="H295">
        <f t="shared" si="16"/>
        <v>24.192146292085233</v>
      </c>
      <c r="I295">
        <f t="shared" si="16"/>
        <v>15.518736583355516</v>
      </c>
      <c r="J295">
        <f t="shared" si="17"/>
        <v>8.6734097087297179</v>
      </c>
      <c r="K295">
        <v>1.53529000282288</v>
      </c>
      <c r="L295">
        <v>46</v>
      </c>
      <c r="M295">
        <f t="shared" si="18"/>
        <v>3.8286413964890951</v>
      </c>
      <c r="N295" s="2">
        <v>0.83099999999999996</v>
      </c>
      <c r="O295">
        <v>0.71793651580810502</v>
      </c>
      <c r="P295">
        <v>1.0626635551452599</v>
      </c>
    </row>
    <row r="296" spans="1:16" x14ac:dyDescent="0.25">
      <c r="A296" t="s">
        <v>19</v>
      </c>
      <c r="B296" s="1" t="s">
        <v>70</v>
      </c>
      <c r="C296">
        <v>2011</v>
      </c>
      <c r="D296">
        <v>245117990242.24756</v>
      </c>
      <c r="E296">
        <v>35316408894.037033</v>
      </c>
      <c r="F296">
        <v>5428758</v>
      </c>
      <c r="G296">
        <f t="shared" si="16"/>
        <v>26.225005524388031</v>
      </c>
      <c r="H296">
        <f t="shared" si="16"/>
        <v>24.287613534071316</v>
      </c>
      <c r="I296">
        <f t="shared" si="16"/>
        <v>15.507220936465819</v>
      </c>
      <c r="J296">
        <f t="shared" si="17"/>
        <v>8.7803925976054966</v>
      </c>
      <c r="K296">
        <v>1.4574099779128999</v>
      </c>
      <c r="L296">
        <v>75</v>
      </c>
      <c r="M296">
        <f t="shared" si="18"/>
        <v>4.3174881135363101</v>
      </c>
      <c r="N296" s="2">
        <v>0.83599999999999997</v>
      </c>
      <c r="O296">
        <v>0.62163048982620195</v>
      </c>
      <c r="P296">
        <v>1.0812516212463399</v>
      </c>
    </row>
    <row r="297" spans="1:16" x14ac:dyDescent="0.25">
      <c r="A297" t="s">
        <v>19</v>
      </c>
      <c r="B297" s="1" t="s">
        <v>70</v>
      </c>
      <c r="C297">
        <v>2012</v>
      </c>
      <c r="D297">
        <v>216224240577.95746</v>
      </c>
      <c r="E297">
        <v>32881519391.97657</v>
      </c>
      <c r="F297">
        <v>5385170</v>
      </c>
      <c r="G297">
        <f t="shared" si="16"/>
        <v>26.099581856948554</v>
      </c>
      <c r="H297">
        <f t="shared" si="16"/>
        <v>24.216176616284997</v>
      </c>
      <c r="I297">
        <f t="shared" si="16"/>
        <v>15.499159437247961</v>
      </c>
      <c r="J297">
        <f t="shared" si="17"/>
        <v>8.7170171790370361</v>
      </c>
      <c r="K297">
        <v>1.3786100149154701</v>
      </c>
      <c r="L297">
        <v>26</v>
      </c>
      <c r="M297">
        <f t="shared" si="18"/>
        <v>3.2580965380214821</v>
      </c>
      <c r="N297" s="2">
        <v>0.83699999999999997</v>
      </c>
      <c r="O297">
        <v>0.82137298583984397</v>
      </c>
      <c r="P297">
        <v>0.95544773340225198</v>
      </c>
    </row>
    <row r="298" spans="1:16" x14ac:dyDescent="0.25">
      <c r="A298" t="s">
        <v>19</v>
      </c>
      <c r="B298" s="1" t="s">
        <v>70</v>
      </c>
      <c r="C298">
        <v>2013</v>
      </c>
      <c r="D298">
        <v>226433858005.71396</v>
      </c>
      <c r="E298">
        <v>35619618470.673828</v>
      </c>
      <c r="F298">
        <v>5289169</v>
      </c>
      <c r="G298">
        <f t="shared" si="16"/>
        <v>26.14571872158923</v>
      </c>
      <c r="H298">
        <f t="shared" si="16"/>
        <v>24.296162403652129</v>
      </c>
      <c r="I298">
        <f t="shared" si="16"/>
        <v>15.481171702647856</v>
      </c>
      <c r="J298">
        <f t="shared" si="17"/>
        <v>8.8149907010042732</v>
      </c>
      <c r="K298">
        <v>1.32467997074127</v>
      </c>
      <c r="L298">
        <v>22</v>
      </c>
      <c r="M298">
        <f t="shared" si="18"/>
        <v>3.0910424533583161</v>
      </c>
      <c r="N298" s="2">
        <v>0.84199999999999997</v>
      </c>
      <c r="O298">
        <v>0.79830133914947499</v>
      </c>
      <c r="P298">
        <v>0.91223609447479204</v>
      </c>
    </row>
    <row r="299" spans="1:16" x14ac:dyDescent="0.25">
      <c r="A299" t="s">
        <v>19</v>
      </c>
      <c r="B299" s="1" t="s">
        <v>70</v>
      </c>
      <c r="C299">
        <v>2014</v>
      </c>
      <c r="D299">
        <v>229901964221.88428</v>
      </c>
      <c r="E299">
        <v>35557203927.086151</v>
      </c>
      <c r="F299">
        <v>5231791</v>
      </c>
      <c r="G299">
        <f t="shared" si="16"/>
        <v>26.160918812488898</v>
      </c>
      <c r="H299">
        <f t="shared" si="16"/>
        <v>24.29440861477865</v>
      </c>
      <c r="I299">
        <f t="shared" si="16"/>
        <v>15.470264224838109</v>
      </c>
      <c r="J299">
        <f t="shared" si="17"/>
        <v>8.8241443899405407</v>
      </c>
      <c r="K299">
        <v>1.2899199724197401</v>
      </c>
      <c r="L299">
        <v>18</v>
      </c>
      <c r="M299">
        <f t="shared" si="18"/>
        <v>2.8903717578961645</v>
      </c>
      <c r="N299" s="2">
        <v>0.84699999999999998</v>
      </c>
      <c r="O299">
        <v>0.74593335390090898</v>
      </c>
      <c r="P299">
        <v>0.90968203544616699</v>
      </c>
    </row>
    <row r="300" spans="1:16" x14ac:dyDescent="0.25">
      <c r="A300" t="s">
        <v>19</v>
      </c>
      <c r="B300" s="1" t="s">
        <v>70</v>
      </c>
      <c r="C300">
        <v>2015</v>
      </c>
      <c r="D300">
        <v>199394066525.44012</v>
      </c>
      <c r="E300">
        <v>33088764391.837875</v>
      </c>
      <c r="F300">
        <v>5204013</v>
      </c>
      <c r="G300">
        <f t="shared" si="16"/>
        <v>26.018548937388683</v>
      </c>
      <c r="H300">
        <f t="shared" si="16"/>
        <v>24.222459617349802</v>
      </c>
      <c r="I300">
        <f t="shared" si="16"/>
        <v>15.464940616689814</v>
      </c>
      <c r="J300">
        <f t="shared" si="17"/>
        <v>8.7575190006599879</v>
      </c>
      <c r="K300">
        <v>1.2432999610900899</v>
      </c>
      <c r="L300">
        <v>20</v>
      </c>
      <c r="M300">
        <f t="shared" si="18"/>
        <v>2.9957322735539909</v>
      </c>
      <c r="N300" s="2">
        <v>0.85</v>
      </c>
      <c r="O300">
        <v>0.94180369377136197</v>
      </c>
      <c r="P300">
        <v>0.89266866445541404</v>
      </c>
    </row>
    <row r="301" spans="1:16" x14ac:dyDescent="0.25">
      <c r="A301" t="s">
        <v>19</v>
      </c>
      <c r="B301" s="1" t="s">
        <v>70</v>
      </c>
      <c r="C301">
        <v>2016</v>
      </c>
      <c r="D301">
        <v>206426152308.93085</v>
      </c>
      <c r="E301">
        <v>35051041218.576736</v>
      </c>
      <c r="F301">
        <v>5187357</v>
      </c>
      <c r="G301">
        <f t="shared" si="16"/>
        <v>26.053208569450288</v>
      </c>
      <c r="H301">
        <f t="shared" si="16"/>
        <v>24.280071156649878</v>
      </c>
      <c r="I301">
        <f t="shared" si="16"/>
        <v>15.461734876876074</v>
      </c>
      <c r="J301">
        <f t="shared" si="17"/>
        <v>8.8183362797738045</v>
      </c>
      <c r="K301">
        <v>1.28075003623962</v>
      </c>
      <c r="L301">
        <v>27</v>
      </c>
      <c r="M301">
        <f t="shared" si="18"/>
        <v>3.2958368660043291</v>
      </c>
      <c r="N301" s="2">
        <v>0.85099999999999998</v>
      </c>
      <c r="O301">
        <v>0.83220171928405795</v>
      </c>
      <c r="P301">
        <v>0.859336078166962</v>
      </c>
    </row>
    <row r="302" spans="1:16" x14ac:dyDescent="0.25">
      <c r="A302" t="s">
        <v>19</v>
      </c>
      <c r="B302" s="1" t="s">
        <v>70</v>
      </c>
      <c r="C302">
        <v>2017</v>
      </c>
      <c r="D302">
        <v>221357874718.92978</v>
      </c>
      <c r="E302">
        <v>40367081616.855362</v>
      </c>
      <c r="F302">
        <v>5226891</v>
      </c>
      <c r="G302">
        <f t="shared" si="16"/>
        <v>26.123046571362231</v>
      </c>
      <c r="H302">
        <f t="shared" si="16"/>
        <v>24.421280478310244</v>
      </c>
      <c r="I302">
        <f t="shared" si="16"/>
        <v>15.469327204215718</v>
      </c>
      <c r="J302">
        <f t="shared" si="17"/>
        <v>8.9519532740945262</v>
      </c>
      <c r="K302">
        <v>1.3192800283432</v>
      </c>
      <c r="L302">
        <v>36</v>
      </c>
      <c r="M302">
        <f t="shared" si="18"/>
        <v>3.5835189384561099</v>
      </c>
      <c r="N302" s="2">
        <v>0.85699999999999998</v>
      </c>
      <c r="O302">
        <v>0.89697206020355202</v>
      </c>
      <c r="P302">
        <v>0.82144218683242798</v>
      </c>
    </row>
    <row r="303" spans="1:16" x14ac:dyDescent="0.25">
      <c r="A303" t="s">
        <v>19</v>
      </c>
      <c r="B303" s="1" t="s">
        <v>70</v>
      </c>
      <c r="C303">
        <v>2018</v>
      </c>
      <c r="D303">
        <v>242313116577.96689</v>
      </c>
      <c r="E303">
        <v>45441339210.21801</v>
      </c>
      <c r="F303">
        <v>5242420</v>
      </c>
      <c r="G303">
        <f t="shared" si="16"/>
        <v>26.213496596931318</v>
      </c>
      <c r="H303">
        <f t="shared" si="16"/>
        <v>24.53968808298087</v>
      </c>
      <c r="I303">
        <f t="shared" si="16"/>
        <v>15.472293781746691</v>
      </c>
      <c r="J303">
        <f t="shared" si="17"/>
        <v>9.0673943012341791</v>
      </c>
      <c r="K303">
        <v>1.3495500087737999</v>
      </c>
      <c r="L303">
        <v>29</v>
      </c>
      <c r="M303">
        <f t="shared" si="18"/>
        <v>3.3672958299864741</v>
      </c>
      <c r="N303" s="2">
        <v>0.85799999999999998</v>
      </c>
      <c r="O303">
        <v>0.87497538328170799</v>
      </c>
      <c r="P303">
        <v>0.80613875389099099</v>
      </c>
    </row>
    <row r="304" spans="1:16" x14ac:dyDescent="0.25">
      <c r="A304" t="s">
        <v>19</v>
      </c>
      <c r="B304" s="1" t="s">
        <v>70</v>
      </c>
      <c r="C304">
        <v>2019</v>
      </c>
      <c r="D304">
        <v>239986922638.90158</v>
      </c>
      <c r="E304">
        <v>45464773835.286201</v>
      </c>
      <c r="F304">
        <v>5264058</v>
      </c>
      <c r="G304">
        <f t="shared" si="16"/>
        <v>26.203850269799247</v>
      </c>
      <c r="H304">
        <f t="shared" si="16"/>
        <v>24.54020366163234</v>
      </c>
      <c r="I304">
        <f t="shared" si="16"/>
        <v>15.476412770163671</v>
      </c>
      <c r="J304">
        <f t="shared" si="17"/>
        <v>9.0637908914686687</v>
      </c>
      <c r="K304">
        <v>1.3956199884414699</v>
      </c>
      <c r="L304">
        <v>104</v>
      </c>
      <c r="M304">
        <f t="shared" si="18"/>
        <v>4.6443908991413725</v>
      </c>
      <c r="N304" s="2">
        <v>0.86399999999999999</v>
      </c>
      <c r="O304">
        <v>0.95791035890579201</v>
      </c>
      <c r="P304">
        <v>0.74571329355239901</v>
      </c>
    </row>
    <row r="305" spans="1:16" x14ac:dyDescent="0.25">
      <c r="A305" t="s">
        <v>19</v>
      </c>
      <c r="B305" s="1" t="s">
        <v>70</v>
      </c>
      <c r="C305">
        <v>2020</v>
      </c>
      <c r="D305">
        <v>229031860520.77728</v>
      </c>
      <c r="E305">
        <v>38872902719.027344</v>
      </c>
      <c r="F305">
        <v>5166305</v>
      </c>
      <c r="G305">
        <f t="shared" si="16"/>
        <v>26.157126959734814</v>
      </c>
      <c r="H305">
        <f t="shared" si="16"/>
        <v>24.383563256640713</v>
      </c>
      <c r="I305">
        <f t="shared" si="16"/>
        <v>15.457668290771251</v>
      </c>
      <c r="J305">
        <f t="shared" si="17"/>
        <v>8.9258949658694622</v>
      </c>
      <c r="K305">
        <v>1.61391997337341</v>
      </c>
      <c r="L305">
        <v>263</v>
      </c>
      <c r="M305">
        <f t="shared" si="18"/>
        <v>5.5721540321777647</v>
      </c>
      <c r="N305" s="2">
        <v>0.86099999999999999</v>
      </c>
      <c r="O305">
        <v>0.82206916809081998</v>
      </c>
      <c r="P305">
        <v>0.72112143039703402</v>
      </c>
    </row>
    <row r="306" spans="1:16" x14ac:dyDescent="0.25">
      <c r="A306" t="s">
        <v>44</v>
      </c>
      <c r="B306" s="1" t="s">
        <v>76</v>
      </c>
      <c r="C306">
        <v>2005</v>
      </c>
      <c r="D306">
        <v>127807848728.39835</v>
      </c>
      <c r="E306">
        <v>64229808152.742409</v>
      </c>
      <c r="F306">
        <v>2330005</v>
      </c>
      <c r="G306">
        <f t="shared" ref="G306:I337" si="19">LN(D306)</f>
        <v>25.573793791154294</v>
      </c>
      <c r="H306">
        <f t="shared" si="19"/>
        <v>24.88573324133235</v>
      </c>
      <c r="I306">
        <f t="shared" si="19"/>
        <v>14.661380971462327</v>
      </c>
      <c r="J306">
        <f t="shared" si="17"/>
        <v>10.224352269870023</v>
      </c>
      <c r="K306">
        <v>2.14806008338928</v>
      </c>
      <c r="L306">
        <v>8036</v>
      </c>
      <c r="M306">
        <f t="shared" si="18"/>
        <v>8.9916867259348248</v>
      </c>
      <c r="N306" s="2">
        <v>0.89600000000000002</v>
      </c>
      <c r="O306">
        <v>1.7468065023422199</v>
      </c>
      <c r="P306">
        <v>2.1560981273651101</v>
      </c>
    </row>
    <row r="307" spans="1:16" x14ac:dyDescent="0.25">
      <c r="A307" t="s">
        <v>44</v>
      </c>
      <c r="B307" s="1" t="s">
        <v>76</v>
      </c>
      <c r="C307">
        <v>2006</v>
      </c>
      <c r="D307">
        <v>148627286361.35068</v>
      </c>
      <c r="E307">
        <v>77266819935.13887</v>
      </c>
      <c r="F307">
        <v>2454545</v>
      </c>
      <c r="G307">
        <f t="shared" si="19"/>
        <v>25.724707575262755</v>
      </c>
      <c r="H307">
        <f t="shared" si="19"/>
        <v>25.070530462811909</v>
      </c>
      <c r="I307">
        <f t="shared" si="19"/>
        <v>14.71345196598503</v>
      </c>
      <c r="J307">
        <f t="shared" si="17"/>
        <v>10.35707849682688</v>
      </c>
      <c r="K307">
        <v>2.1165599822997998</v>
      </c>
      <c r="L307">
        <v>8537</v>
      </c>
      <c r="M307">
        <f t="shared" ref="M307:M370" si="20">LN(L307)</f>
        <v>9.052164937010307</v>
      </c>
      <c r="N307" s="2">
        <v>0.90100000000000002</v>
      </c>
      <c r="O307">
        <v>1.75363004207611</v>
      </c>
      <c r="P307">
        <v>2.1749172210693399</v>
      </c>
    </row>
    <row r="308" spans="1:16" x14ac:dyDescent="0.25">
      <c r="A308" t="s">
        <v>44</v>
      </c>
      <c r="B308" s="1" t="s">
        <v>76</v>
      </c>
      <c r="C308">
        <v>2007</v>
      </c>
      <c r="D308">
        <v>180941701357.97046</v>
      </c>
      <c r="E308">
        <v>97885677279.971741</v>
      </c>
      <c r="F308">
        <v>2556969</v>
      </c>
      <c r="G308">
        <f t="shared" si="19"/>
        <v>25.921440724384571</v>
      </c>
      <c r="H308">
        <f t="shared" si="19"/>
        <v>25.3070660762905</v>
      </c>
      <c r="I308">
        <f t="shared" si="19"/>
        <v>14.754333130617509</v>
      </c>
      <c r="J308">
        <f t="shared" si="17"/>
        <v>10.552732945672991</v>
      </c>
      <c r="K308">
        <v>2.3198599815368701</v>
      </c>
      <c r="L308">
        <v>9255</v>
      </c>
      <c r="M308">
        <f t="shared" si="20"/>
        <v>9.1329192250075977</v>
      </c>
      <c r="N308" s="2">
        <v>0.90600000000000003</v>
      </c>
      <c r="O308">
        <v>1.8088684082031301</v>
      </c>
      <c r="P308">
        <v>2.23121237754822</v>
      </c>
    </row>
    <row r="309" spans="1:16" x14ac:dyDescent="0.25">
      <c r="A309" t="s">
        <v>44</v>
      </c>
      <c r="B309" s="1" t="s">
        <v>76</v>
      </c>
      <c r="C309">
        <v>2008</v>
      </c>
      <c r="D309">
        <v>193617323539.20279</v>
      </c>
      <c r="E309">
        <v>96684479959.515442</v>
      </c>
      <c r="F309">
        <v>2765886</v>
      </c>
      <c r="G309">
        <f t="shared" si="19"/>
        <v>25.989149488876617</v>
      </c>
      <c r="H309">
        <f t="shared" si="19"/>
        <v>25.294718729725449</v>
      </c>
      <c r="I309">
        <f t="shared" si="19"/>
        <v>14.832871575606948</v>
      </c>
      <c r="J309">
        <f t="shared" si="17"/>
        <v>10.461847154118502</v>
      </c>
      <c r="K309">
        <v>2.59674000740051</v>
      </c>
      <c r="L309">
        <v>8899</v>
      </c>
      <c r="M309">
        <f t="shared" si="20"/>
        <v>9.093694189856862</v>
      </c>
      <c r="N309" s="2">
        <v>0.91</v>
      </c>
      <c r="O309">
        <v>1.8687384128570601</v>
      </c>
      <c r="P309">
        <v>2.23161792755127</v>
      </c>
    </row>
    <row r="310" spans="1:16" x14ac:dyDescent="0.25">
      <c r="A310" t="s">
        <v>44</v>
      </c>
      <c r="B310" s="1" t="s">
        <v>76</v>
      </c>
      <c r="C310">
        <v>2009</v>
      </c>
      <c r="D310">
        <v>194150283771.56647</v>
      </c>
      <c r="E310">
        <v>98952778073.790924</v>
      </c>
      <c r="F310">
        <v>2884413</v>
      </c>
      <c r="G310">
        <f t="shared" si="19"/>
        <v>25.991898354732943</v>
      </c>
      <c r="H310">
        <f t="shared" si="19"/>
        <v>25.31790858413186</v>
      </c>
      <c r="I310">
        <f t="shared" si="19"/>
        <v>14.874831971017775</v>
      </c>
      <c r="J310">
        <f t="shared" si="17"/>
        <v>10.443076613114085</v>
      </c>
      <c r="K310">
        <v>2.1278998851776101</v>
      </c>
      <c r="L310">
        <v>7986</v>
      </c>
      <c r="M310">
        <f t="shared" si="20"/>
        <v>8.9854452876231665</v>
      </c>
      <c r="N310" s="2">
        <v>0.91</v>
      </c>
      <c r="O310">
        <v>1.77574038505554</v>
      </c>
      <c r="P310">
        <v>2.2067203521728498</v>
      </c>
    </row>
    <row r="311" spans="1:16" x14ac:dyDescent="0.25">
      <c r="A311" t="s">
        <v>44</v>
      </c>
      <c r="B311" s="1" t="s">
        <v>76</v>
      </c>
      <c r="C311">
        <v>2010</v>
      </c>
      <c r="D311">
        <v>239807980591.23965</v>
      </c>
      <c r="E311">
        <v>129425789947.69374</v>
      </c>
      <c r="F311">
        <v>2990900</v>
      </c>
      <c r="G311">
        <f t="shared" si="19"/>
        <v>26.203104359183047</v>
      </c>
      <c r="H311">
        <f t="shared" si="19"/>
        <v>25.586373503232796</v>
      </c>
      <c r="I311">
        <f t="shared" si="19"/>
        <v>14.911084903418933</v>
      </c>
      <c r="J311">
        <f t="shared" si="17"/>
        <v>10.675288599813863</v>
      </c>
      <c r="K311">
        <v>1.9291800260543801</v>
      </c>
      <c r="L311">
        <v>8878</v>
      </c>
      <c r="M311">
        <f t="shared" si="20"/>
        <v>9.0913315853939807</v>
      </c>
      <c r="N311" s="2">
        <v>0.92100000000000004</v>
      </c>
      <c r="O311">
        <v>1.7835993766784699</v>
      </c>
      <c r="P311">
        <v>2.1713628768920898</v>
      </c>
    </row>
    <row r="312" spans="1:16" x14ac:dyDescent="0.25">
      <c r="A312" t="s">
        <v>44</v>
      </c>
      <c r="B312" s="1" t="s">
        <v>76</v>
      </c>
      <c r="C312">
        <v>2011</v>
      </c>
      <c r="D312">
        <v>279356499090.45807</v>
      </c>
      <c r="E312">
        <v>151264692600.27222</v>
      </c>
      <c r="F312">
        <v>3073730</v>
      </c>
      <c r="G312">
        <f t="shared" si="19"/>
        <v>26.355754577626435</v>
      </c>
      <c r="H312">
        <f t="shared" si="19"/>
        <v>25.742297070298289</v>
      </c>
      <c r="I312">
        <f t="shared" si="19"/>
        <v>14.938402365781325</v>
      </c>
      <c r="J312">
        <f t="shared" si="17"/>
        <v>10.803894704516964</v>
      </c>
      <c r="K312">
        <v>2.0695500373840301</v>
      </c>
      <c r="L312">
        <v>8738</v>
      </c>
      <c r="M312">
        <f t="shared" si="20"/>
        <v>9.0754366095113816</v>
      </c>
      <c r="N312" s="2">
        <v>0.92400000000000004</v>
      </c>
      <c r="O312">
        <v>1.7832305431366</v>
      </c>
      <c r="P312">
        <v>2.1029970645904501</v>
      </c>
    </row>
    <row r="313" spans="1:16" x14ac:dyDescent="0.25">
      <c r="A313" t="s">
        <v>44</v>
      </c>
      <c r="B313" s="1" t="s">
        <v>76</v>
      </c>
      <c r="C313">
        <v>2012</v>
      </c>
      <c r="D313">
        <v>295092888076.58948</v>
      </c>
      <c r="E313">
        <v>158866458185.96179</v>
      </c>
      <c r="F313">
        <v>3185075</v>
      </c>
      <c r="G313">
        <f t="shared" si="19"/>
        <v>26.410556018559451</v>
      </c>
      <c r="H313">
        <f t="shared" si="19"/>
        <v>25.79132980064222</v>
      </c>
      <c r="I313">
        <f t="shared" si="19"/>
        <v>14.973986394591844</v>
      </c>
      <c r="J313">
        <f t="shared" si="17"/>
        <v>10.817343406050377</v>
      </c>
      <c r="K313">
        <v>1.91832995414734</v>
      </c>
      <c r="L313">
        <v>8604</v>
      </c>
      <c r="M313">
        <f t="shared" si="20"/>
        <v>9.05998249038762</v>
      </c>
      <c r="N313" s="2">
        <v>0.92600000000000005</v>
      </c>
      <c r="O313">
        <v>1.95790207386017</v>
      </c>
      <c r="P313">
        <v>2.1157081127166699</v>
      </c>
    </row>
    <row r="314" spans="1:16" x14ac:dyDescent="0.25">
      <c r="A314" t="s">
        <v>44</v>
      </c>
      <c r="B314" s="1" t="s">
        <v>76</v>
      </c>
      <c r="C314">
        <v>2013</v>
      </c>
      <c r="D314">
        <v>307576360584.99158</v>
      </c>
      <c r="E314">
        <v>162776552385.51904</v>
      </c>
      <c r="F314">
        <v>3244474</v>
      </c>
      <c r="G314">
        <f t="shared" si="19"/>
        <v>26.451989220470576</v>
      </c>
      <c r="H314">
        <f t="shared" si="19"/>
        <v>25.815644253025972</v>
      </c>
      <c r="I314">
        <f t="shared" si="19"/>
        <v>14.99246379944984</v>
      </c>
      <c r="J314">
        <f t="shared" si="17"/>
        <v>10.823180453576132</v>
      </c>
      <c r="K314">
        <v>1.9210400581359901</v>
      </c>
      <c r="L314">
        <v>8579</v>
      </c>
      <c r="M314">
        <f t="shared" si="20"/>
        <v>9.0570726355729647</v>
      </c>
      <c r="N314" s="2">
        <v>0.93</v>
      </c>
      <c r="O314">
        <v>1.9601083993911701</v>
      </c>
      <c r="P314">
        <v>2.0705025196075399</v>
      </c>
    </row>
    <row r="315" spans="1:16" x14ac:dyDescent="0.25">
      <c r="A315" t="s">
        <v>44</v>
      </c>
      <c r="B315" s="1" t="s">
        <v>76</v>
      </c>
      <c r="C315">
        <v>2014</v>
      </c>
      <c r="D315">
        <v>314863580758.45465</v>
      </c>
      <c r="E315">
        <v>166199439643.26584</v>
      </c>
      <c r="F315">
        <v>3339133</v>
      </c>
      <c r="G315">
        <f t="shared" si="19"/>
        <v>26.475405305009847</v>
      </c>
      <c r="H315">
        <f t="shared" si="19"/>
        <v>25.836454347781245</v>
      </c>
      <c r="I315">
        <f t="shared" si="19"/>
        <v>15.021221750417622</v>
      </c>
      <c r="J315">
        <f t="shared" si="17"/>
        <v>10.815232597363623</v>
      </c>
      <c r="K315">
        <v>2.0822799205779998</v>
      </c>
      <c r="L315">
        <v>9009</v>
      </c>
      <c r="M315">
        <f t="shared" si="20"/>
        <v>9.1059793566514404</v>
      </c>
      <c r="N315" s="2">
        <v>0.93200000000000005</v>
      </c>
      <c r="O315">
        <v>2.2263600826263401</v>
      </c>
      <c r="P315">
        <v>2.0675637722015399</v>
      </c>
    </row>
    <row r="316" spans="1:16" x14ac:dyDescent="0.25">
      <c r="A316" t="s">
        <v>44</v>
      </c>
      <c r="B316" s="1" t="s">
        <v>76</v>
      </c>
      <c r="C316">
        <v>2015</v>
      </c>
      <c r="D316">
        <v>307998545269.39795</v>
      </c>
      <c r="E316">
        <v>162164348189.76962</v>
      </c>
      <c r="F316">
        <v>3437533</v>
      </c>
      <c r="G316">
        <f t="shared" si="19"/>
        <v>26.453360896757527</v>
      </c>
      <c r="H316">
        <f t="shared" si="19"/>
        <v>25.811876152925098</v>
      </c>
      <c r="I316">
        <f t="shared" si="19"/>
        <v>15.050264620910884</v>
      </c>
      <c r="J316">
        <f t="shared" si="17"/>
        <v>10.761611532014214</v>
      </c>
      <c r="K316">
        <v>2.1744499206543</v>
      </c>
      <c r="L316">
        <v>9345</v>
      </c>
      <c r="M316">
        <f t="shared" si="20"/>
        <v>9.1425967198896636</v>
      </c>
      <c r="N316" s="2">
        <v>0.93500000000000005</v>
      </c>
      <c r="O316">
        <v>2.2522354125976598</v>
      </c>
      <c r="P316">
        <v>2.0508465766906698</v>
      </c>
    </row>
    <row r="317" spans="1:16" x14ac:dyDescent="0.25">
      <c r="A317" t="s">
        <v>44</v>
      </c>
      <c r="B317" s="1" t="s">
        <v>76</v>
      </c>
      <c r="C317">
        <v>2016</v>
      </c>
      <c r="D317">
        <v>319053943915.00537</v>
      </c>
      <c r="E317">
        <v>169997017833.64435</v>
      </c>
      <c r="F317">
        <v>3480133</v>
      </c>
      <c r="G317">
        <f t="shared" si="19"/>
        <v>26.488626028616761</v>
      </c>
      <c r="H317">
        <f t="shared" si="19"/>
        <v>25.859046731687773</v>
      </c>
      <c r="I317">
        <f t="shared" si="19"/>
        <v>15.062581069411157</v>
      </c>
      <c r="J317">
        <f t="shared" si="17"/>
        <v>10.796465662276615</v>
      </c>
      <c r="K317">
        <v>2.0729100704193102</v>
      </c>
      <c r="L317">
        <v>9379</v>
      </c>
      <c r="M317">
        <f t="shared" si="20"/>
        <v>9.1462284265089391</v>
      </c>
      <c r="N317" s="2">
        <v>0.93700000000000006</v>
      </c>
      <c r="O317">
        <v>2.17064332962036</v>
      </c>
      <c r="P317">
        <v>2.0415911674499498</v>
      </c>
    </row>
    <row r="318" spans="1:16" x14ac:dyDescent="0.25">
      <c r="A318" t="s">
        <v>44</v>
      </c>
      <c r="B318" s="1" t="s">
        <v>76</v>
      </c>
      <c r="C318">
        <v>2017</v>
      </c>
      <c r="D318">
        <v>343257164581.71155</v>
      </c>
      <c r="E318">
        <v>187448051125.15161</v>
      </c>
      <c r="F318">
        <v>3474178</v>
      </c>
      <c r="G318">
        <f t="shared" si="19"/>
        <v>26.56174575415659</v>
      </c>
      <c r="H318">
        <f t="shared" si="19"/>
        <v>25.956767583302621</v>
      </c>
      <c r="I318">
        <f t="shared" si="19"/>
        <v>15.060868462236842</v>
      </c>
      <c r="J318">
        <f t="shared" si="17"/>
        <v>10.89589912106578</v>
      </c>
      <c r="K318">
        <v>1.8990499973297099</v>
      </c>
      <c r="L318">
        <v>9321</v>
      </c>
      <c r="M318">
        <f t="shared" si="20"/>
        <v>9.1400251980611564</v>
      </c>
      <c r="N318" s="2">
        <v>0.93799999999999994</v>
      </c>
      <c r="O318">
        <v>2.1086354255676301</v>
      </c>
      <c r="P318">
        <v>2.08804154396057</v>
      </c>
    </row>
    <row r="319" spans="1:16" x14ac:dyDescent="0.25">
      <c r="A319" t="s">
        <v>44</v>
      </c>
      <c r="B319" s="1" t="s">
        <v>76</v>
      </c>
      <c r="C319">
        <v>2018</v>
      </c>
      <c r="D319">
        <v>376892697588.00507</v>
      </c>
      <c r="E319">
        <v>209092095293.59256</v>
      </c>
      <c r="F319">
        <v>3471429</v>
      </c>
      <c r="G319">
        <f t="shared" si="19"/>
        <v>26.655226362099476</v>
      </c>
      <c r="H319">
        <f t="shared" si="19"/>
        <v>26.066040639192458</v>
      </c>
      <c r="I319">
        <f t="shared" si="19"/>
        <v>15.060076882712247</v>
      </c>
      <c r="J319">
        <f t="shared" si="17"/>
        <v>11.005963756480211</v>
      </c>
      <c r="K319">
        <v>1.8095799684524501</v>
      </c>
      <c r="L319">
        <v>10270</v>
      </c>
      <c r="M319">
        <f t="shared" si="20"/>
        <v>9.2369823029226037</v>
      </c>
      <c r="N319" s="2">
        <v>0.94199999999999995</v>
      </c>
      <c r="O319">
        <v>2.1217379570007302</v>
      </c>
      <c r="P319">
        <v>2.13455390930176</v>
      </c>
    </row>
    <row r="320" spans="1:16" x14ac:dyDescent="0.25">
      <c r="A320" t="s">
        <v>44</v>
      </c>
      <c r="B320" s="1" t="s">
        <v>76</v>
      </c>
      <c r="C320">
        <v>2019</v>
      </c>
      <c r="D320">
        <v>376901649222.45081</v>
      </c>
      <c r="E320">
        <v>205009170491.98114</v>
      </c>
      <c r="F320">
        <v>3527441</v>
      </c>
      <c r="G320">
        <f t="shared" si="19"/>
        <v>26.655250112965966</v>
      </c>
      <c r="H320">
        <f t="shared" si="19"/>
        <v>26.046320549191503</v>
      </c>
      <c r="I320">
        <f t="shared" si="19"/>
        <v>15.076083236842795</v>
      </c>
      <c r="J320">
        <f t="shared" si="17"/>
        <v>10.970237312348708</v>
      </c>
      <c r="K320">
        <v>1.8850599527359</v>
      </c>
      <c r="L320">
        <v>12409</v>
      </c>
      <c r="M320">
        <f t="shared" si="20"/>
        <v>9.4261772947746199</v>
      </c>
      <c r="N320" s="2">
        <v>0.94499999999999995</v>
      </c>
      <c r="O320">
        <v>2.1544375419616699</v>
      </c>
      <c r="P320">
        <v>2.12010598182678</v>
      </c>
    </row>
    <row r="321" spans="1:16" x14ac:dyDescent="0.25">
      <c r="A321" t="s">
        <v>44</v>
      </c>
      <c r="B321" s="1" t="s">
        <v>76</v>
      </c>
      <c r="C321">
        <v>2020</v>
      </c>
      <c r="D321">
        <v>349488382610.66199</v>
      </c>
      <c r="E321">
        <v>195041391796.43729</v>
      </c>
      <c r="F321">
        <v>3511798</v>
      </c>
      <c r="G321">
        <f t="shared" si="19"/>
        <v>26.579736158041097</v>
      </c>
      <c r="H321">
        <f t="shared" si="19"/>
        <v>25.996477638607754</v>
      </c>
      <c r="I321">
        <f t="shared" si="19"/>
        <v>15.071638714998691</v>
      </c>
      <c r="J321">
        <f t="shared" si="17"/>
        <v>10.924838923609062</v>
      </c>
      <c r="K321">
        <v>2.1630499362945601</v>
      </c>
      <c r="L321">
        <v>11487</v>
      </c>
      <c r="M321">
        <f t="shared" si="20"/>
        <v>9.3489712401454046</v>
      </c>
      <c r="N321" s="2">
        <v>0.94199999999999995</v>
      </c>
      <c r="O321">
        <v>2.2052991390228298</v>
      </c>
      <c r="P321">
        <v>2.1183173656463601</v>
      </c>
    </row>
    <row r="322" spans="1:16" x14ac:dyDescent="0.25">
      <c r="A322" t="s">
        <v>24</v>
      </c>
      <c r="B322" s="1" t="s">
        <v>45</v>
      </c>
      <c r="C322">
        <v>2005</v>
      </c>
      <c r="D322">
        <v>62808723476.71904</v>
      </c>
      <c r="E322">
        <v>16671888276.071589</v>
      </c>
      <c r="F322">
        <v>2656460</v>
      </c>
      <c r="G322">
        <f t="shared" si="19"/>
        <v>24.863359809638574</v>
      </c>
      <c r="H322">
        <f t="shared" si="19"/>
        <v>23.536989801203621</v>
      </c>
      <c r="I322">
        <f t="shared" si="19"/>
        <v>14.792504967353409</v>
      </c>
      <c r="J322">
        <f t="shared" si="17"/>
        <v>8.7444848338502119</v>
      </c>
      <c r="K322">
        <v>0.49331998825073198</v>
      </c>
      <c r="L322">
        <v>95</v>
      </c>
      <c r="M322">
        <f t="shared" si="20"/>
        <v>4.5538768916005408</v>
      </c>
      <c r="N322" s="2">
        <v>0.80200000000000005</v>
      </c>
      <c r="O322">
        <v>1.1267722845077499</v>
      </c>
      <c r="P322">
        <v>0.45142069458961498</v>
      </c>
    </row>
    <row r="323" spans="1:16" x14ac:dyDescent="0.25">
      <c r="A323" t="s">
        <v>24</v>
      </c>
      <c r="B323" s="1" t="s">
        <v>45</v>
      </c>
      <c r="C323">
        <v>2006</v>
      </c>
      <c r="D323">
        <v>70767338922.441071</v>
      </c>
      <c r="E323">
        <v>18629427726.204681</v>
      </c>
      <c r="F323">
        <v>2655911</v>
      </c>
      <c r="G323">
        <f t="shared" si="19"/>
        <v>24.982663416552956</v>
      </c>
      <c r="H323">
        <f t="shared" si="19"/>
        <v>23.648008303224696</v>
      </c>
      <c r="I323">
        <f t="shared" si="19"/>
        <v>14.792298279980876</v>
      </c>
      <c r="J323">
        <f t="shared" ref="J323:J386" si="21">H323-I323</f>
        <v>8.8557100232438195</v>
      </c>
      <c r="K323">
        <v>0.47488000988960299</v>
      </c>
      <c r="L323">
        <v>90</v>
      </c>
      <c r="M323">
        <f t="shared" si="20"/>
        <v>4.499809670330265</v>
      </c>
      <c r="N323" s="2">
        <v>0.81200000000000006</v>
      </c>
      <c r="O323">
        <v>1.08478224277496</v>
      </c>
      <c r="P323">
        <v>0.37525695562362699</v>
      </c>
    </row>
    <row r="324" spans="1:16" x14ac:dyDescent="0.25">
      <c r="A324" t="s">
        <v>24</v>
      </c>
      <c r="B324" s="1" t="s">
        <v>45</v>
      </c>
      <c r="C324">
        <v>2007</v>
      </c>
      <c r="D324">
        <v>86563986799.250473</v>
      </c>
      <c r="E324">
        <v>24789948201.952629</v>
      </c>
      <c r="F324">
        <v>2656117</v>
      </c>
      <c r="G324">
        <f t="shared" si="19"/>
        <v>25.184149709200785</v>
      </c>
      <c r="H324">
        <f t="shared" si="19"/>
        <v>23.933704093517857</v>
      </c>
      <c r="I324">
        <f t="shared" si="19"/>
        <v>14.792375839813054</v>
      </c>
      <c r="J324">
        <f t="shared" si="21"/>
        <v>9.1413282537048026</v>
      </c>
      <c r="K324">
        <v>0.44745999574661299</v>
      </c>
      <c r="L324">
        <v>106</v>
      </c>
      <c r="M324">
        <f t="shared" si="20"/>
        <v>4.6634390941120669</v>
      </c>
      <c r="N324" s="2">
        <v>0.82199999999999995</v>
      </c>
      <c r="O324">
        <v>0.97418808937072798</v>
      </c>
      <c r="P324">
        <v>0.296645998954773</v>
      </c>
    </row>
    <row r="325" spans="1:16" x14ac:dyDescent="0.25">
      <c r="A325" t="s">
        <v>24</v>
      </c>
      <c r="B325" s="1" t="s">
        <v>45</v>
      </c>
      <c r="C325">
        <v>2008</v>
      </c>
      <c r="D325">
        <v>100879902984.98279</v>
      </c>
      <c r="E325">
        <v>26873595390.069527</v>
      </c>
      <c r="F325">
        <v>2689387</v>
      </c>
      <c r="G325">
        <f t="shared" si="19"/>
        <v>25.337196566915289</v>
      </c>
      <c r="H325">
        <f t="shared" si="19"/>
        <v>24.014410057472848</v>
      </c>
      <c r="I325">
        <f t="shared" si="19"/>
        <v>14.8048238445683</v>
      </c>
      <c r="J325">
        <f t="shared" si="21"/>
        <v>9.2095862129045472</v>
      </c>
      <c r="K325">
        <v>0.46136999130249001</v>
      </c>
      <c r="L325">
        <v>75</v>
      </c>
      <c r="M325">
        <f t="shared" si="20"/>
        <v>4.3174881135363101</v>
      </c>
      <c r="N325" s="2">
        <v>0.83099999999999996</v>
      </c>
      <c r="O325">
        <v>1.0783275365829501</v>
      </c>
      <c r="P325">
        <v>0.31219914555549599</v>
      </c>
    </row>
    <row r="326" spans="1:16" x14ac:dyDescent="0.25">
      <c r="A326" t="s">
        <v>24</v>
      </c>
      <c r="B326" s="1" t="s">
        <v>45</v>
      </c>
      <c r="C326">
        <v>2009</v>
      </c>
      <c r="D326">
        <v>89399303222.155014</v>
      </c>
      <c r="E326">
        <v>18178872984.206627</v>
      </c>
      <c r="F326">
        <v>2679233</v>
      </c>
      <c r="G326">
        <f t="shared" si="19"/>
        <v>25.216378725159881</v>
      </c>
      <c r="H326">
        <f t="shared" si="19"/>
        <v>23.623525931706315</v>
      </c>
      <c r="I326">
        <f t="shared" si="19"/>
        <v>14.801041117495862</v>
      </c>
      <c r="J326">
        <f t="shared" si="21"/>
        <v>8.8224848142104531</v>
      </c>
      <c r="K326">
        <v>0.472719997167587</v>
      </c>
      <c r="L326">
        <v>63</v>
      </c>
      <c r="M326">
        <f t="shared" si="20"/>
        <v>4.1431347263915326</v>
      </c>
      <c r="N326" s="2">
        <v>0.83399999999999996</v>
      </c>
      <c r="O326">
        <v>1.0480437278747601</v>
      </c>
      <c r="P326">
        <v>0.26556965708732599</v>
      </c>
    </row>
    <row r="327" spans="1:16" x14ac:dyDescent="0.25">
      <c r="A327" t="s">
        <v>24</v>
      </c>
      <c r="B327" s="1" t="s">
        <v>45</v>
      </c>
      <c r="C327">
        <v>2010</v>
      </c>
      <c r="D327">
        <v>91162836320.350174</v>
      </c>
      <c r="E327">
        <v>22023262638.91671</v>
      </c>
      <c r="F327">
        <v>2690040</v>
      </c>
      <c r="G327">
        <f t="shared" si="19"/>
        <v>25.235913154490053</v>
      </c>
      <c r="H327">
        <f t="shared" si="19"/>
        <v>23.815365124336893</v>
      </c>
      <c r="I327">
        <f t="shared" si="19"/>
        <v>14.805066621355943</v>
      </c>
      <c r="J327">
        <f t="shared" si="21"/>
        <v>9.0102985029809499</v>
      </c>
      <c r="K327">
        <v>0.60549998283386197</v>
      </c>
      <c r="L327">
        <v>48</v>
      </c>
      <c r="M327">
        <f t="shared" si="20"/>
        <v>3.8712010109078911</v>
      </c>
      <c r="N327" s="2">
        <v>0.84099999999999997</v>
      </c>
      <c r="O327">
        <v>0.99918615818023704</v>
      </c>
      <c r="P327">
        <v>0.24816529452800801</v>
      </c>
    </row>
    <row r="328" spans="1:16" x14ac:dyDescent="0.25">
      <c r="A328" t="s">
        <v>24</v>
      </c>
      <c r="B328" s="1" t="s">
        <v>45</v>
      </c>
      <c r="C328">
        <v>2011</v>
      </c>
      <c r="D328">
        <v>99922685424.883469</v>
      </c>
      <c r="E328">
        <v>26380663062.791882</v>
      </c>
      <c r="F328">
        <v>2684551</v>
      </c>
      <c r="G328">
        <f t="shared" si="19"/>
        <v>25.327662578152022</v>
      </c>
      <c r="H328">
        <f t="shared" si="19"/>
        <v>23.995897118976252</v>
      </c>
      <c r="I328">
        <f t="shared" si="19"/>
        <v>14.803024046615503</v>
      </c>
      <c r="J328">
        <f t="shared" si="21"/>
        <v>9.192873072360749</v>
      </c>
      <c r="K328">
        <v>0.65254998207092296</v>
      </c>
      <c r="L328">
        <v>33</v>
      </c>
      <c r="M328">
        <f t="shared" si="20"/>
        <v>3.4965075614664802</v>
      </c>
      <c r="N328" s="2">
        <v>0.84599999999999997</v>
      </c>
      <c r="O328">
        <v>0.999639213085175</v>
      </c>
      <c r="P328">
        <v>0.229635804891586</v>
      </c>
    </row>
    <row r="329" spans="1:16" x14ac:dyDescent="0.25">
      <c r="A329" t="s">
        <v>24</v>
      </c>
      <c r="B329" s="1" t="s">
        <v>45</v>
      </c>
      <c r="C329">
        <v>2012</v>
      </c>
      <c r="D329">
        <v>94623731085.610565</v>
      </c>
      <c r="E329">
        <v>24813347173.150787</v>
      </c>
      <c r="F329">
        <v>2709630</v>
      </c>
      <c r="G329">
        <f t="shared" si="19"/>
        <v>25.273174138686613</v>
      </c>
      <c r="H329">
        <f t="shared" si="19"/>
        <v>23.934647537809482</v>
      </c>
      <c r="I329">
        <f t="shared" si="19"/>
        <v>14.812322652169314</v>
      </c>
      <c r="J329">
        <f t="shared" si="21"/>
        <v>9.1223248856401682</v>
      </c>
      <c r="K329">
        <v>0.79461002349853505</v>
      </c>
      <c r="L329">
        <v>35</v>
      </c>
      <c r="M329">
        <f t="shared" si="20"/>
        <v>3.5553480614894135</v>
      </c>
      <c r="N329" s="2">
        <v>0.84599999999999997</v>
      </c>
      <c r="O329">
        <v>1.0409066677093499</v>
      </c>
      <c r="P329">
        <v>6.9280497729778304E-2</v>
      </c>
    </row>
    <row r="330" spans="1:16" x14ac:dyDescent="0.25">
      <c r="A330" t="s">
        <v>24</v>
      </c>
      <c r="B330" s="1" t="s">
        <v>45</v>
      </c>
      <c r="C330">
        <v>2013</v>
      </c>
      <c r="D330">
        <v>98935222174.860275</v>
      </c>
      <c r="E330">
        <v>26245195571.604778</v>
      </c>
      <c r="F330">
        <v>2717943</v>
      </c>
      <c r="G330">
        <f t="shared" si="19"/>
        <v>25.317731151453227</v>
      </c>
      <c r="H330">
        <f t="shared" si="19"/>
        <v>23.990748783389144</v>
      </c>
      <c r="I330">
        <f t="shared" si="19"/>
        <v>14.815385902170897</v>
      </c>
      <c r="J330">
        <f t="shared" si="21"/>
        <v>9.1753628812182466</v>
      </c>
      <c r="K330">
        <v>0.82005000114440896</v>
      </c>
      <c r="L330">
        <v>26</v>
      </c>
      <c r="M330">
        <f t="shared" si="20"/>
        <v>3.2580965380214821</v>
      </c>
      <c r="N330" s="2">
        <v>0.84899999999999998</v>
      </c>
      <c r="O330">
        <v>0.92778038978576705</v>
      </c>
      <c r="P330">
        <v>4.91567775607109E-2</v>
      </c>
    </row>
    <row r="331" spans="1:16" x14ac:dyDescent="0.25">
      <c r="A331" t="s">
        <v>24</v>
      </c>
      <c r="B331" s="1" t="s">
        <v>45</v>
      </c>
      <c r="C331">
        <v>2014</v>
      </c>
      <c r="D331">
        <v>101437045019.90082</v>
      </c>
      <c r="E331">
        <v>27012822268.196377</v>
      </c>
      <c r="F331">
        <v>2739490</v>
      </c>
      <c r="G331">
        <f t="shared" si="19"/>
        <v>25.342704196886711</v>
      </c>
      <c r="H331">
        <f t="shared" si="19"/>
        <v>24.019577489044071</v>
      </c>
      <c r="I331">
        <f t="shared" si="19"/>
        <v>14.823282329652795</v>
      </c>
      <c r="J331">
        <f t="shared" si="21"/>
        <v>9.1962951593912763</v>
      </c>
      <c r="K331">
        <v>0.87699997425079301</v>
      </c>
      <c r="L331">
        <v>23</v>
      </c>
      <c r="M331">
        <f t="shared" si="20"/>
        <v>3.1354942159291497</v>
      </c>
      <c r="N331" s="2">
        <v>0.85099999999999998</v>
      </c>
      <c r="O331">
        <v>0.88545179367065396</v>
      </c>
      <c r="P331">
        <v>0.122271440923214</v>
      </c>
    </row>
    <row r="332" spans="1:16" x14ac:dyDescent="0.25">
      <c r="A332" t="s">
        <v>24</v>
      </c>
      <c r="B332" s="1" t="s">
        <v>45</v>
      </c>
      <c r="C332">
        <v>2015</v>
      </c>
      <c r="D332">
        <v>88900883130.837448</v>
      </c>
      <c r="E332">
        <v>24572205576.122253</v>
      </c>
      <c r="F332">
        <v>2740515</v>
      </c>
      <c r="G332">
        <f t="shared" si="19"/>
        <v>25.210787913397102</v>
      </c>
      <c r="H332">
        <f t="shared" si="19"/>
        <v>23.924881786488623</v>
      </c>
      <c r="I332">
        <f t="shared" si="19"/>
        <v>14.823656416907077</v>
      </c>
      <c r="J332">
        <f t="shared" si="21"/>
        <v>9.1012253695815453</v>
      </c>
      <c r="K332">
        <v>1.1572699546814</v>
      </c>
      <c r="L332">
        <v>28</v>
      </c>
      <c r="M332">
        <f t="shared" si="20"/>
        <v>3.3322045101752038</v>
      </c>
      <c r="N332" s="2">
        <v>0.85199999999999998</v>
      </c>
      <c r="O332">
        <v>0.77258604764938399</v>
      </c>
      <c r="P332">
        <v>0.11041835695505101</v>
      </c>
    </row>
    <row r="333" spans="1:16" x14ac:dyDescent="0.25">
      <c r="A333" t="s">
        <v>24</v>
      </c>
      <c r="B333" s="1" t="s">
        <v>45</v>
      </c>
      <c r="C333">
        <v>2016</v>
      </c>
      <c r="D333">
        <v>89952699524.893997</v>
      </c>
      <c r="E333">
        <v>23539082809.568928</v>
      </c>
      <c r="F333">
        <v>2760482</v>
      </c>
      <c r="G333">
        <f t="shared" si="19"/>
        <v>25.222549808286661</v>
      </c>
      <c r="H333">
        <f t="shared" si="19"/>
        <v>23.881927974959517</v>
      </c>
      <c r="I333">
        <f t="shared" si="19"/>
        <v>14.830915860127108</v>
      </c>
      <c r="J333">
        <f t="shared" si="21"/>
        <v>9.0510121148324085</v>
      </c>
      <c r="K333">
        <v>0.78856998682022095</v>
      </c>
      <c r="L333">
        <v>15</v>
      </c>
      <c r="M333">
        <f t="shared" si="20"/>
        <v>2.7080502011022101</v>
      </c>
      <c r="N333" s="2">
        <v>0.85499999999999998</v>
      </c>
      <c r="O333">
        <v>0.87696838378906306</v>
      </c>
      <c r="P333">
        <v>0.15269376337528201</v>
      </c>
    </row>
    <row r="334" spans="1:16" x14ac:dyDescent="0.25">
      <c r="A334" t="s">
        <v>24</v>
      </c>
      <c r="B334" s="1" t="s">
        <v>45</v>
      </c>
      <c r="C334">
        <v>2017</v>
      </c>
      <c r="D334">
        <v>95649966260.980164</v>
      </c>
      <c r="E334">
        <v>24054562246.940041</v>
      </c>
      <c r="F334">
        <v>2755144</v>
      </c>
      <c r="G334">
        <f t="shared" si="19"/>
        <v>25.283961180098476</v>
      </c>
      <c r="H334">
        <f t="shared" si="19"/>
        <v>23.903590513925177</v>
      </c>
      <c r="I334">
        <f t="shared" si="19"/>
        <v>14.828980267805736</v>
      </c>
      <c r="J334">
        <f t="shared" si="21"/>
        <v>9.0746102461194411</v>
      </c>
      <c r="K334">
        <v>0.88455998897552501</v>
      </c>
      <c r="L334">
        <v>23</v>
      </c>
      <c r="M334">
        <f t="shared" si="20"/>
        <v>3.1354942159291497</v>
      </c>
      <c r="N334" s="2">
        <v>0.85699999999999998</v>
      </c>
      <c r="O334">
        <v>0.81186151504516602</v>
      </c>
      <c r="P334">
        <v>9.7783237695693997E-2</v>
      </c>
    </row>
    <row r="335" spans="1:16" x14ac:dyDescent="0.25">
      <c r="A335" t="s">
        <v>24</v>
      </c>
      <c r="B335" s="1" t="s">
        <v>45</v>
      </c>
      <c r="C335">
        <v>2018</v>
      </c>
      <c r="D335">
        <v>106137924015.59286</v>
      </c>
      <c r="E335">
        <v>26767745205.34507</v>
      </c>
      <c r="F335">
        <v>2746932</v>
      </c>
      <c r="G335">
        <f t="shared" si="19"/>
        <v>25.388005255228869</v>
      </c>
      <c r="H335">
        <f t="shared" si="19"/>
        <v>24.010463462516807</v>
      </c>
      <c r="I335">
        <f t="shared" si="19"/>
        <v>14.825995210493625</v>
      </c>
      <c r="J335">
        <f t="shared" si="21"/>
        <v>9.1844682520231817</v>
      </c>
      <c r="K335">
        <v>0.83555001020431496</v>
      </c>
      <c r="L335">
        <v>14</v>
      </c>
      <c r="M335">
        <f t="shared" si="20"/>
        <v>2.6390573296152584</v>
      </c>
      <c r="N335" s="2">
        <v>0.86</v>
      </c>
      <c r="O335">
        <v>0.79831230640411399</v>
      </c>
      <c r="P335">
        <v>0.230566427111626</v>
      </c>
    </row>
    <row r="336" spans="1:16" x14ac:dyDescent="0.25">
      <c r="A336" t="s">
        <v>24</v>
      </c>
      <c r="B336" s="1" t="s">
        <v>45</v>
      </c>
      <c r="C336">
        <v>2019</v>
      </c>
      <c r="D336">
        <v>105711680180.56453</v>
      </c>
      <c r="E336">
        <v>25425205047.497997</v>
      </c>
      <c r="F336">
        <v>2742063</v>
      </c>
      <c r="G336">
        <f t="shared" si="19"/>
        <v>25.383981226844966</v>
      </c>
      <c r="H336">
        <f t="shared" si="19"/>
        <v>23.959006843646861</v>
      </c>
      <c r="I336">
        <f t="shared" si="19"/>
        <v>14.824221114770433</v>
      </c>
      <c r="J336">
        <f t="shared" si="21"/>
        <v>9.1347857288764285</v>
      </c>
      <c r="K336">
        <v>0.822409987449646</v>
      </c>
      <c r="L336">
        <v>28</v>
      </c>
      <c r="M336">
        <f t="shared" si="20"/>
        <v>3.3322045101752038</v>
      </c>
      <c r="N336" s="2">
        <v>0.86299999999999999</v>
      </c>
      <c r="O336">
        <v>0.99758112430572499</v>
      </c>
      <c r="P336">
        <v>0.18827502429485299</v>
      </c>
    </row>
    <row r="337" spans="1:16" x14ac:dyDescent="0.25">
      <c r="A337" t="s">
        <v>24</v>
      </c>
      <c r="B337" s="1" t="s">
        <v>45</v>
      </c>
      <c r="C337">
        <v>2020</v>
      </c>
      <c r="D337">
        <v>106737868873.94115</v>
      </c>
      <c r="E337">
        <v>22964742541.196949</v>
      </c>
      <c r="F337">
        <v>2712322</v>
      </c>
      <c r="G337">
        <f t="shared" si="19"/>
        <v>25.39364184207243</v>
      </c>
      <c r="H337">
        <f t="shared" si="19"/>
        <v>23.857225943740225</v>
      </c>
      <c r="I337">
        <f t="shared" si="19"/>
        <v>14.813315652557812</v>
      </c>
      <c r="J337">
        <f t="shared" si="21"/>
        <v>9.0439102911824136</v>
      </c>
      <c r="K337">
        <v>0.89780998229980502</v>
      </c>
      <c r="L337">
        <v>15</v>
      </c>
      <c r="M337">
        <f t="shared" si="20"/>
        <v>2.7080502011022101</v>
      </c>
      <c r="N337" s="2">
        <v>0.86</v>
      </c>
      <c r="O337">
        <v>0.77473336458206199</v>
      </c>
      <c r="P337">
        <v>0.41619792580604598</v>
      </c>
    </row>
    <row r="338" spans="1:16" x14ac:dyDescent="0.25">
      <c r="A338" t="s">
        <v>65</v>
      </c>
      <c r="B338" s="1" t="s">
        <v>21</v>
      </c>
      <c r="C338">
        <v>2005</v>
      </c>
      <c r="D338">
        <v>1153715822717.5093</v>
      </c>
      <c r="E338">
        <v>283622723934.63025</v>
      </c>
      <c r="F338">
        <v>21197697</v>
      </c>
      <c r="G338">
        <f t="shared" ref="G338:I386" si="22">LN(D338)</f>
        <v>27.774008999544652</v>
      </c>
      <c r="H338">
        <f t="shared" si="22"/>
        <v>26.37091075510326</v>
      </c>
      <c r="I338">
        <f t="shared" si="22"/>
        <v>16.869403101665878</v>
      </c>
      <c r="J338">
        <f t="shared" si="21"/>
        <v>9.5015076534373826</v>
      </c>
      <c r="K338">
        <v>1.09956002235413</v>
      </c>
      <c r="L338">
        <v>313</v>
      </c>
      <c r="M338">
        <f t="shared" si="20"/>
        <v>5.7462031905401529</v>
      </c>
      <c r="N338" s="2">
        <v>0.85099999999999998</v>
      </c>
      <c r="O338">
        <v>1.3043754100799601</v>
      </c>
      <c r="P338">
        <v>1.3276158571243299</v>
      </c>
    </row>
    <row r="339" spans="1:16" x14ac:dyDescent="0.25">
      <c r="A339" t="s">
        <v>65</v>
      </c>
      <c r="B339" s="1" t="s">
        <v>21</v>
      </c>
      <c r="C339">
        <v>2006</v>
      </c>
      <c r="D339">
        <v>1260398977831.7629</v>
      </c>
      <c r="E339">
        <v>313471546683.52899</v>
      </c>
      <c r="F339">
        <v>21880145</v>
      </c>
      <c r="G339">
        <f t="shared" si="22"/>
        <v>27.862449435842027</v>
      </c>
      <c r="H339">
        <f t="shared" si="22"/>
        <v>26.4709744327203</v>
      </c>
      <c r="I339">
        <f t="shared" si="22"/>
        <v>16.901090162552769</v>
      </c>
      <c r="J339">
        <f t="shared" si="21"/>
        <v>9.5698842701675311</v>
      </c>
      <c r="K339">
        <v>1.1770199537277199</v>
      </c>
      <c r="L339">
        <v>316</v>
      </c>
      <c r="M339">
        <f t="shared" si="20"/>
        <v>5.7557422135869123</v>
      </c>
      <c r="N339" s="2">
        <v>0.85599999999999998</v>
      </c>
      <c r="O339">
        <v>1.17664575576782</v>
      </c>
      <c r="P339">
        <v>1.1776654720306401</v>
      </c>
    </row>
    <row r="340" spans="1:16" x14ac:dyDescent="0.25">
      <c r="A340" t="s">
        <v>65</v>
      </c>
      <c r="B340" s="1" t="s">
        <v>21</v>
      </c>
      <c r="C340">
        <v>2007</v>
      </c>
      <c r="D340">
        <v>1474002579820.0046</v>
      </c>
      <c r="E340">
        <v>363549450418.82471</v>
      </c>
      <c r="F340">
        <v>22508326</v>
      </c>
      <c r="G340">
        <f t="shared" si="22"/>
        <v>28.019002659911262</v>
      </c>
      <c r="H340">
        <f t="shared" si="22"/>
        <v>26.619181164334073</v>
      </c>
      <c r="I340">
        <f t="shared" si="22"/>
        <v>16.929395843169534</v>
      </c>
      <c r="J340">
        <f t="shared" si="21"/>
        <v>9.6897853211645391</v>
      </c>
      <c r="K340">
        <v>1.2405300140380899</v>
      </c>
      <c r="L340">
        <v>265</v>
      </c>
      <c r="M340">
        <f t="shared" si="20"/>
        <v>5.579729825986222</v>
      </c>
      <c r="N340" s="2">
        <v>0.85699999999999998</v>
      </c>
      <c r="O340">
        <v>1.21525323390961</v>
      </c>
      <c r="P340">
        <v>1.0790324211120601</v>
      </c>
    </row>
    <row r="341" spans="1:16" x14ac:dyDescent="0.25">
      <c r="A341" t="s">
        <v>65</v>
      </c>
      <c r="B341" s="1" t="s">
        <v>21</v>
      </c>
      <c r="C341">
        <v>2008</v>
      </c>
      <c r="D341">
        <v>1631863493552.3433</v>
      </c>
      <c r="E341">
        <v>387063128977.34369</v>
      </c>
      <c r="F341">
        <v>23150283</v>
      </c>
      <c r="G341">
        <f t="shared" si="22"/>
        <v>28.120743725315485</v>
      </c>
      <c r="H341">
        <f t="shared" si="22"/>
        <v>26.681853640645389</v>
      </c>
      <c r="I341">
        <f t="shared" si="22"/>
        <v>16.957517563043826</v>
      </c>
      <c r="J341">
        <f t="shared" si="21"/>
        <v>9.7243360776015635</v>
      </c>
      <c r="K341">
        <v>1.32500004768372</v>
      </c>
      <c r="L341">
        <v>252</v>
      </c>
      <c r="M341">
        <f t="shared" si="20"/>
        <v>5.5294290875114234</v>
      </c>
      <c r="N341" s="2">
        <v>0.85799999999999998</v>
      </c>
      <c r="O341">
        <v>1.2548899650573699</v>
      </c>
      <c r="P341">
        <v>1.17877197265625</v>
      </c>
    </row>
    <row r="342" spans="1:16" x14ac:dyDescent="0.25">
      <c r="A342" t="s">
        <v>65</v>
      </c>
      <c r="B342" s="1" t="s">
        <v>21</v>
      </c>
      <c r="C342">
        <v>2009</v>
      </c>
      <c r="D342">
        <v>1491472923706.6396</v>
      </c>
      <c r="E342">
        <v>334565064752.73413</v>
      </c>
      <c r="F342">
        <v>23364217</v>
      </c>
      <c r="G342">
        <f t="shared" si="22"/>
        <v>28.030785287003038</v>
      </c>
      <c r="H342">
        <f t="shared" si="22"/>
        <v>26.536097211060493</v>
      </c>
      <c r="I342">
        <f t="shared" si="22"/>
        <v>16.966716221892391</v>
      </c>
      <c r="J342">
        <f t="shared" si="21"/>
        <v>9.5693809891681028</v>
      </c>
      <c r="K342">
        <v>1.3636399507522601</v>
      </c>
      <c r="L342">
        <v>207</v>
      </c>
      <c r="M342">
        <f t="shared" si="20"/>
        <v>5.3327187932653688</v>
      </c>
      <c r="N342" s="2">
        <v>0.86</v>
      </c>
      <c r="O342">
        <v>1.1870524883270299</v>
      </c>
      <c r="P342">
        <v>1.05494809150696</v>
      </c>
    </row>
    <row r="343" spans="1:16" x14ac:dyDescent="0.25">
      <c r="A343" t="s">
        <v>65</v>
      </c>
      <c r="B343" s="1" t="s">
        <v>21</v>
      </c>
      <c r="C343">
        <v>2010</v>
      </c>
      <c r="D343">
        <v>1422108199783.3362</v>
      </c>
      <c r="E343">
        <v>302598806316.66724</v>
      </c>
      <c r="F343">
        <v>23482007</v>
      </c>
      <c r="G343">
        <f t="shared" si="22"/>
        <v>27.983161534276611</v>
      </c>
      <c r="H343">
        <f t="shared" si="22"/>
        <v>26.435673693536334</v>
      </c>
      <c r="I343">
        <f t="shared" si="22"/>
        <v>16.971745026272924</v>
      </c>
      <c r="J343">
        <f t="shared" si="21"/>
        <v>9.46392866726341</v>
      </c>
      <c r="K343">
        <v>1.3599599599838299</v>
      </c>
      <c r="L343">
        <v>213</v>
      </c>
      <c r="M343">
        <f t="shared" si="20"/>
        <v>5.3612921657094255</v>
      </c>
      <c r="N343" s="2">
        <v>0.86799999999999999</v>
      </c>
      <c r="O343">
        <v>1.1581903696060201</v>
      </c>
      <c r="P343">
        <v>1.1600370407104501</v>
      </c>
    </row>
    <row r="344" spans="1:16" x14ac:dyDescent="0.25">
      <c r="A344" t="s">
        <v>65</v>
      </c>
      <c r="B344" s="1" t="s">
        <v>21</v>
      </c>
      <c r="C344">
        <v>2011</v>
      </c>
      <c r="D344">
        <v>1480710495710.1196</v>
      </c>
      <c r="E344">
        <v>308707835992.21851</v>
      </c>
      <c r="F344">
        <v>23558862</v>
      </c>
      <c r="G344">
        <f t="shared" si="22"/>
        <v>28.023543153179393</v>
      </c>
      <c r="H344">
        <f t="shared" si="22"/>
        <v>26.455661151974986</v>
      </c>
      <c r="I344">
        <f t="shared" si="22"/>
        <v>16.975012613373941</v>
      </c>
      <c r="J344">
        <f t="shared" si="21"/>
        <v>9.4806485386010451</v>
      </c>
      <c r="K344">
        <v>1.3334100246429399</v>
      </c>
      <c r="L344">
        <v>196</v>
      </c>
      <c r="M344">
        <f t="shared" si="20"/>
        <v>5.2781146592305168</v>
      </c>
      <c r="N344" s="2">
        <v>0.873</v>
      </c>
      <c r="O344">
        <v>1.0607382059097299</v>
      </c>
      <c r="P344">
        <v>1.16321241855621</v>
      </c>
    </row>
    <row r="345" spans="1:16" x14ac:dyDescent="0.25">
      <c r="A345" t="s">
        <v>65</v>
      </c>
      <c r="B345" s="1" t="s">
        <v>21</v>
      </c>
      <c r="C345">
        <v>2012</v>
      </c>
      <c r="D345">
        <v>1324750738725.0002</v>
      </c>
      <c r="E345">
        <v>271583768615.62506</v>
      </c>
      <c r="F345">
        <v>23569775</v>
      </c>
      <c r="G345">
        <f t="shared" si="22"/>
        <v>27.912245435952642</v>
      </c>
      <c r="H345">
        <f t="shared" si="22"/>
        <v>26.327536468752434</v>
      </c>
      <c r="I345">
        <f t="shared" si="22"/>
        <v>16.975475728833658</v>
      </c>
      <c r="J345">
        <f t="shared" si="21"/>
        <v>9.3520607399187767</v>
      </c>
      <c r="K345">
        <v>1.2987600564956701</v>
      </c>
      <c r="L345">
        <v>209</v>
      </c>
      <c r="M345">
        <f t="shared" si="20"/>
        <v>5.3423342519648109</v>
      </c>
      <c r="N345" s="2">
        <v>0.875</v>
      </c>
      <c r="O345">
        <v>0.94715493917465199</v>
      </c>
      <c r="P345">
        <v>1.1704063415527299</v>
      </c>
    </row>
    <row r="346" spans="1:16" x14ac:dyDescent="0.25">
      <c r="A346" t="s">
        <v>65</v>
      </c>
      <c r="B346" s="1" t="s">
        <v>21</v>
      </c>
      <c r="C346">
        <v>2013</v>
      </c>
      <c r="D346">
        <v>1355579535912.5527</v>
      </c>
      <c r="E346">
        <v>286538810724.70667</v>
      </c>
      <c r="F346">
        <v>23332032</v>
      </c>
      <c r="G346">
        <f t="shared" si="22"/>
        <v>27.93525018060236</v>
      </c>
      <c r="H346">
        <f t="shared" si="22"/>
        <v>26.381139828934351</v>
      </c>
      <c r="I346">
        <f t="shared" si="22"/>
        <v>16.965337738361669</v>
      </c>
      <c r="J346">
        <f t="shared" si="21"/>
        <v>9.4158020905726829</v>
      </c>
      <c r="K346">
        <v>1.27481997013092</v>
      </c>
      <c r="L346">
        <v>218</v>
      </c>
      <c r="M346">
        <f t="shared" si="20"/>
        <v>5.3844950627890888</v>
      </c>
      <c r="N346" s="2">
        <v>0.88</v>
      </c>
      <c r="O346">
        <v>0.93268072605133101</v>
      </c>
      <c r="P346">
        <v>0.92699760198593095</v>
      </c>
    </row>
    <row r="347" spans="1:16" x14ac:dyDescent="0.25">
      <c r="A347" t="s">
        <v>65</v>
      </c>
      <c r="B347" s="1" t="s">
        <v>21</v>
      </c>
      <c r="C347">
        <v>2014</v>
      </c>
      <c r="D347">
        <v>1371820537888.6226</v>
      </c>
      <c r="E347">
        <v>287971144010.97937</v>
      </c>
      <c r="F347">
        <v>23091303</v>
      </c>
      <c r="G347">
        <f t="shared" si="22"/>
        <v>27.947159833388568</v>
      </c>
      <c r="H347">
        <f t="shared" si="22"/>
        <v>26.386126117656239</v>
      </c>
      <c r="I347">
        <f t="shared" si="22"/>
        <v>16.954966611094054</v>
      </c>
      <c r="J347">
        <f t="shared" si="21"/>
        <v>9.4311595065621852</v>
      </c>
      <c r="K347">
        <v>1.2415900230407699</v>
      </c>
      <c r="L347">
        <v>225</v>
      </c>
      <c r="M347">
        <f t="shared" si="20"/>
        <v>5.4161004022044201</v>
      </c>
      <c r="N347" s="2">
        <v>0.88400000000000001</v>
      </c>
      <c r="O347">
        <v>0.74645406007766701</v>
      </c>
      <c r="P347">
        <v>0.68956166505813599</v>
      </c>
    </row>
    <row r="348" spans="1:16" x14ac:dyDescent="0.25">
      <c r="A348" t="s">
        <v>65</v>
      </c>
      <c r="B348" s="1" t="s">
        <v>21</v>
      </c>
      <c r="C348">
        <v>2015</v>
      </c>
      <c r="D348">
        <v>1196156971279.6868</v>
      </c>
      <c r="E348">
        <v>263464931007.81238</v>
      </c>
      <c r="F348">
        <v>23036096</v>
      </c>
      <c r="G348">
        <f t="shared" si="22"/>
        <v>27.810135009734239</v>
      </c>
      <c r="H348">
        <f t="shared" si="22"/>
        <v>26.297186106916268</v>
      </c>
      <c r="I348">
        <f t="shared" si="22"/>
        <v>16.95257293499019</v>
      </c>
      <c r="J348">
        <f t="shared" si="21"/>
        <v>9.3446131719260777</v>
      </c>
      <c r="K348">
        <v>1.22178995609283</v>
      </c>
      <c r="L348">
        <v>221</v>
      </c>
      <c r="M348">
        <f t="shared" si="20"/>
        <v>5.3981627015177525</v>
      </c>
      <c r="N348" s="2">
        <v>0.88900000000000001</v>
      </c>
      <c r="O348">
        <v>0.79149788618087802</v>
      </c>
      <c r="P348">
        <v>0.63158971071243297</v>
      </c>
    </row>
    <row r="349" spans="1:16" x14ac:dyDescent="0.25">
      <c r="A349" t="s">
        <v>65</v>
      </c>
      <c r="B349" s="1" t="s">
        <v>21</v>
      </c>
      <c r="C349">
        <v>2016</v>
      </c>
      <c r="D349">
        <v>1233554967011.6763</v>
      </c>
      <c r="E349">
        <v>280369703257.58826</v>
      </c>
      <c r="F349">
        <v>22977372</v>
      </c>
      <c r="G349">
        <f t="shared" si="22"/>
        <v>27.840921333748412</v>
      </c>
      <c r="H349">
        <f t="shared" si="22"/>
        <v>26.359374937972447</v>
      </c>
      <c r="I349">
        <f t="shared" si="22"/>
        <v>16.950020463531928</v>
      </c>
      <c r="J349">
        <f t="shared" si="21"/>
        <v>9.4093544744405193</v>
      </c>
      <c r="K349">
        <v>1.1898599863052399</v>
      </c>
      <c r="L349">
        <v>177</v>
      </c>
      <c r="M349">
        <f t="shared" si="20"/>
        <v>5.1761497325738288</v>
      </c>
      <c r="N349" s="2">
        <v>0.89400000000000002</v>
      </c>
      <c r="O349">
        <v>0.99648380279541005</v>
      </c>
      <c r="P349">
        <v>0.57036620378494296</v>
      </c>
    </row>
    <row r="350" spans="1:16" x14ac:dyDescent="0.25">
      <c r="A350" t="s">
        <v>65</v>
      </c>
      <c r="B350" s="1" t="s">
        <v>21</v>
      </c>
      <c r="C350">
        <v>2017</v>
      </c>
      <c r="D350">
        <v>1313245330197.6494</v>
      </c>
      <c r="E350">
        <v>302109507342.35345</v>
      </c>
      <c r="F350">
        <v>22897891</v>
      </c>
      <c r="G350">
        <f t="shared" si="22"/>
        <v>27.903522540861463</v>
      </c>
      <c r="H350">
        <f t="shared" si="22"/>
        <v>26.434055395689104</v>
      </c>
      <c r="I350">
        <f t="shared" si="22"/>
        <v>16.946555368213495</v>
      </c>
      <c r="J350">
        <f t="shared" si="21"/>
        <v>9.4875000274756083</v>
      </c>
      <c r="K350">
        <v>1.2097699642181401</v>
      </c>
      <c r="L350">
        <v>176</v>
      </c>
      <c r="M350">
        <f t="shared" si="20"/>
        <v>5.1704839950381514</v>
      </c>
      <c r="N350" s="2">
        <v>0.89600000000000002</v>
      </c>
      <c r="O350">
        <v>0.93057405948638905</v>
      </c>
      <c r="P350">
        <v>0.51027786731720004</v>
      </c>
    </row>
    <row r="351" spans="1:16" x14ac:dyDescent="0.25">
      <c r="A351" t="s">
        <v>65</v>
      </c>
      <c r="B351" s="1" t="s">
        <v>21</v>
      </c>
      <c r="C351">
        <v>2018</v>
      </c>
      <c r="D351">
        <v>1421702715218.0381</v>
      </c>
      <c r="E351">
        <v>329592594141.17621</v>
      </c>
      <c r="F351">
        <v>22930164</v>
      </c>
      <c r="G351">
        <f t="shared" si="22"/>
        <v>27.982876364425191</v>
      </c>
      <c r="H351">
        <f t="shared" si="22"/>
        <v>26.521123165497421</v>
      </c>
      <c r="I351">
        <f t="shared" si="22"/>
        <v>16.947963807010865</v>
      </c>
      <c r="J351">
        <f t="shared" si="21"/>
        <v>9.5731593584865564</v>
      </c>
      <c r="K351">
        <v>1.24151003360748</v>
      </c>
      <c r="L351">
        <v>149</v>
      </c>
      <c r="M351">
        <f t="shared" si="20"/>
        <v>5.0039463059454592</v>
      </c>
      <c r="N351" s="2">
        <v>0.89900000000000002</v>
      </c>
      <c r="O351">
        <v>0.93815416097641002</v>
      </c>
      <c r="P351">
        <v>0.61284929513931297</v>
      </c>
    </row>
    <row r="352" spans="1:16" x14ac:dyDescent="0.25">
      <c r="A352" t="s">
        <v>65</v>
      </c>
      <c r="B352" s="1" t="s">
        <v>21</v>
      </c>
      <c r="C352">
        <v>2019</v>
      </c>
      <c r="D352">
        <v>1394320055129.4094</v>
      </c>
      <c r="E352">
        <v>331420428627.45044</v>
      </c>
      <c r="F352">
        <v>23139046</v>
      </c>
      <c r="G352">
        <f t="shared" si="22"/>
        <v>27.9634279966984</v>
      </c>
      <c r="H352">
        <f t="shared" si="22"/>
        <v>26.52665358345315</v>
      </c>
      <c r="I352">
        <f t="shared" si="22"/>
        <v>16.957032051567921</v>
      </c>
      <c r="J352">
        <f t="shared" si="21"/>
        <v>9.5696215318852289</v>
      </c>
      <c r="K352">
        <v>1.25024998188019</v>
      </c>
      <c r="L352">
        <v>159</v>
      </c>
      <c r="M352">
        <f t="shared" si="20"/>
        <v>5.0689042022202315</v>
      </c>
      <c r="N352" s="2">
        <v>0.90400000000000003</v>
      </c>
      <c r="O352">
        <v>1.037264585495</v>
      </c>
      <c r="P352">
        <v>0.66652673482894897</v>
      </c>
    </row>
    <row r="353" spans="1:16" x14ac:dyDescent="0.25">
      <c r="A353" t="s">
        <v>65</v>
      </c>
      <c r="B353" s="1" t="s">
        <v>21</v>
      </c>
      <c r="C353">
        <v>2020</v>
      </c>
      <c r="D353">
        <v>1278128867875.49</v>
      </c>
      <c r="E353">
        <v>280019655873.93073</v>
      </c>
      <c r="F353">
        <v>22838137</v>
      </c>
      <c r="G353">
        <f t="shared" si="22"/>
        <v>27.876418302383652</v>
      </c>
      <c r="H353">
        <f t="shared" si="22"/>
        <v>26.358125637201539</v>
      </c>
      <c r="I353">
        <f t="shared" si="22"/>
        <v>16.943942371999711</v>
      </c>
      <c r="J353">
        <f t="shared" si="21"/>
        <v>9.414183265201828</v>
      </c>
      <c r="K353">
        <v>1.41039001941681</v>
      </c>
      <c r="L353">
        <v>124</v>
      </c>
      <c r="M353">
        <f t="shared" si="20"/>
        <v>4.8202815656050371</v>
      </c>
      <c r="N353" s="2">
        <v>0.89400000000000002</v>
      </c>
      <c r="O353">
        <v>0.75544911623001099</v>
      </c>
      <c r="P353">
        <v>0.71118026971817005</v>
      </c>
    </row>
    <row r="354" spans="1:16" x14ac:dyDescent="0.25">
      <c r="A354" t="s">
        <v>102</v>
      </c>
      <c r="B354" s="1" t="s">
        <v>26</v>
      </c>
      <c r="C354">
        <v>2005</v>
      </c>
      <c r="D354">
        <v>392218088878.77856</v>
      </c>
      <c r="E354">
        <v>112011481179.1626</v>
      </c>
      <c r="F354">
        <v>4690191</v>
      </c>
      <c r="G354">
        <f t="shared" si="22"/>
        <v>26.695083871212603</v>
      </c>
      <c r="H354">
        <f t="shared" si="22"/>
        <v>25.441867213515899</v>
      </c>
      <c r="I354">
        <f t="shared" si="22"/>
        <v>15.36098386453992</v>
      </c>
      <c r="J354">
        <f t="shared" si="21"/>
        <v>10.080883348975979</v>
      </c>
      <c r="K354">
        <v>3.35958003997803</v>
      </c>
      <c r="L354">
        <v>438</v>
      </c>
      <c r="M354">
        <f t="shared" si="20"/>
        <v>6.0822189103764464</v>
      </c>
      <c r="N354" s="2">
        <v>0.90300000000000002</v>
      </c>
      <c r="O354">
        <v>1.5328688621521001</v>
      </c>
      <c r="P354">
        <v>2.0127975940704301</v>
      </c>
    </row>
    <row r="355" spans="1:16" x14ac:dyDescent="0.25">
      <c r="A355" t="s">
        <v>102</v>
      </c>
      <c r="B355" s="1" t="s">
        <v>26</v>
      </c>
      <c r="C355">
        <v>2006</v>
      </c>
      <c r="D355">
        <v>423093437423.7619</v>
      </c>
      <c r="E355">
        <v>127077607004.41843</v>
      </c>
      <c r="F355">
        <v>4768932</v>
      </c>
      <c r="G355">
        <f t="shared" si="22"/>
        <v>26.770858883854345</v>
      </c>
      <c r="H355">
        <f t="shared" si="22"/>
        <v>25.568063815547344</v>
      </c>
      <c r="I355">
        <f t="shared" si="22"/>
        <v>15.377632938424249</v>
      </c>
      <c r="J355">
        <f t="shared" si="21"/>
        <v>10.190430877123095</v>
      </c>
      <c r="K355">
        <v>3.4749999046325701</v>
      </c>
      <c r="L355">
        <v>413</v>
      </c>
      <c r="M355">
        <f t="shared" si="20"/>
        <v>6.0234475929610332</v>
      </c>
      <c r="N355" s="2">
        <v>0.90700000000000003</v>
      </c>
      <c r="O355">
        <v>1.43954706192017</v>
      </c>
      <c r="P355">
        <v>2.1863234043121298</v>
      </c>
    </row>
    <row r="356" spans="1:16" x14ac:dyDescent="0.25">
      <c r="A356" t="s">
        <v>102</v>
      </c>
      <c r="B356" s="1" t="s">
        <v>26</v>
      </c>
      <c r="C356">
        <v>2007</v>
      </c>
      <c r="D356">
        <v>491252589217.02075</v>
      </c>
      <c r="E356">
        <v>151993253240.22015</v>
      </c>
      <c r="F356">
        <v>4844850</v>
      </c>
      <c r="G356">
        <f t="shared" si="22"/>
        <v>26.920224270786772</v>
      </c>
      <c r="H356">
        <f t="shared" si="22"/>
        <v>25.747101970230077</v>
      </c>
      <c r="I356">
        <f t="shared" si="22"/>
        <v>15.393426843075419</v>
      </c>
      <c r="J356">
        <f t="shared" si="21"/>
        <v>10.353675127154657</v>
      </c>
      <c r="K356">
        <v>3.2338299751281698</v>
      </c>
      <c r="L356">
        <v>398</v>
      </c>
      <c r="M356">
        <f t="shared" si="20"/>
        <v>5.9864520052844377</v>
      </c>
      <c r="N356" s="2">
        <v>0.90900000000000003</v>
      </c>
      <c r="O356">
        <v>1.57299721240997</v>
      </c>
      <c r="P356">
        <v>2.23397564888</v>
      </c>
    </row>
    <row r="357" spans="1:16" x14ac:dyDescent="0.25">
      <c r="A357" t="s">
        <v>102</v>
      </c>
      <c r="B357" s="1" t="s">
        <v>26</v>
      </c>
      <c r="C357">
        <v>2008</v>
      </c>
      <c r="D357">
        <v>517706149201.19556</v>
      </c>
      <c r="E357">
        <v>156349319536.95135</v>
      </c>
      <c r="F357">
        <v>4904595</v>
      </c>
      <c r="G357">
        <f t="shared" si="22"/>
        <v>26.972673638707612</v>
      </c>
      <c r="H357">
        <f t="shared" si="22"/>
        <v>25.775358568662675</v>
      </c>
      <c r="I357">
        <f t="shared" si="22"/>
        <v>15.40568307876527</v>
      </c>
      <c r="J357">
        <f t="shared" si="21"/>
        <v>10.369675489897405</v>
      </c>
      <c r="K357">
        <v>3.4699900150299099</v>
      </c>
      <c r="L357">
        <v>306</v>
      </c>
      <c r="M357">
        <f t="shared" si="20"/>
        <v>5.7235851019523807</v>
      </c>
      <c r="N357" s="2">
        <v>0.90500000000000003</v>
      </c>
      <c r="O357">
        <v>1.6358840465545701</v>
      </c>
      <c r="P357">
        <v>2.2114107608795202</v>
      </c>
    </row>
    <row r="358" spans="1:16" x14ac:dyDescent="0.25">
      <c r="A358" t="s">
        <v>102</v>
      </c>
      <c r="B358" s="1" t="s">
        <v>26</v>
      </c>
      <c r="C358">
        <v>2009</v>
      </c>
      <c r="D358">
        <v>436537014293.55353</v>
      </c>
      <c r="E358">
        <v>115401761216.65054</v>
      </c>
      <c r="F358">
        <v>4912421</v>
      </c>
      <c r="G358">
        <f t="shared" si="22"/>
        <v>26.802139006554302</v>
      </c>
      <c r="H358">
        <f t="shared" si="22"/>
        <v>25.471685452746677</v>
      </c>
      <c r="I358">
        <f t="shared" si="22"/>
        <v>15.40727745360541</v>
      </c>
      <c r="J358">
        <f t="shared" si="21"/>
        <v>10.064407999141267</v>
      </c>
      <c r="K358">
        <v>3.3952798843383798</v>
      </c>
      <c r="L358">
        <v>463</v>
      </c>
      <c r="M358">
        <f t="shared" si="20"/>
        <v>6.1377270540862341</v>
      </c>
      <c r="N358" s="2">
        <v>0.90400000000000003</v>
      </c>
      <c r="O358">
        <v>1.64970362186432</v>
      </c>
      <c r="P358">
        <v>2.2426955699920699</v>
      </c>
    </row>
    <row r="359" spans="1:16" x14ac:dyDescent="0.25">
      <c r="A359" t="s">
        <v>102</v>
      </c>
      <c r="B359" s="1" t="s">
        <v>26</v>
      </c>
      <c r="C359">
        <v>2010</v>
      </c>
      <c r="D359">
        <v>495812558843.31036</v>
      </c>
      <c r="E359">
        <v>139181357814.8483</v>
      </c>
      <c r="F359">
        <v>4947828</v>
      </c>
      <c r="G359">
        <f t="shared" si="22"/>
        <v>26.929463786689197</v>
      </c>
      <c r="H359">
        <f t="shared" si="22"/>
        <v>25.65904365213424</v>
      </c>
      <c r="I359">
        <f t="shared" si="22"/>
        <v>15.414459250370514</v>
      </c>
      <c r="J359">
        <f t="shared" si="21"/>
        <v>10.244584401763726</v>
      </c>
      <c r="K359">
        <v>3.1678900718689</v>
      </c>
      <c r="L359">
        <v>353</v>
      </c>
      <c r="M359">
        <f t="shared" si="20"/>
        <v>5.8664680569332965</v>
      </c>
      <c r="N359" s="2">
        <v>0.91</v>
      </c>
      <c r="O359">
        <v>1.6562405824661299</v>
      </c>
      <c r="P359">
        <v>2.21972584724426</v>
      </c>
    </row>
    <row r="360" spans="1:16" x14ac:dyDescent="0.25">
      <c r="A360" t="s">
        <v>102</v>
      </c>
      <c r="B360" s="1" t="s">
        <v>26</v>
      </c>
      <c r="C360">
        <v>2011</v>
      </c>
      <c r="D360">
        <v>574094112972.73267</v>
      </c>
      <c r="E360">
        <v>164108398958.35001</v>
      </c>
      <c r="F360">
        <v>5012570</v>
      </c>
      <c r="G360">
        <f t="shared" si="22"/>
        <v>27.076059179708835</v>
      </c>
      <c r="H360">
        <f t="shared" si="22"/>
        <v>25.823793015684867</v>
      </c>
      <c r="I360">
        <f t="shared" si="22"/>
        <v>15.427459315586733</v>
      </c>
      <c r="J360">
        <f t="shared" si="21"/>
        <v>10.396333700098134</v>
      </c>
      <c r="K360">
        <v>3.1870200634002699</v>
      </c>
      <c r="L360">
        <v>337</v>
      </c>
      <c r="M360">
        <f t="shared" si="20"/>
        <v>5.8200829303523616</v>
      </c>
      <c r="N360" s="2">
        <v>0.91200000000000003</v>
      </c>
      <c r="O360">
        <v>1.8922419548034699</v>
      </c>
      <c r="P360">
        <v>2.16803646087646</v>
      </c>
    </row>
    <row r="361" spans="1:16" x14ac:dyDescent="0.25">
      <c r="A361" t="s">
        <v>102</v>
      </c>
      <c r="B361" s="1" t="s">
        <v>26</v>
      </c>
      <c r="C361">
        <v>2012</v>
      </c>
      <c r="D361">
        <v>552483727282.80249</v>
      </c>
      <c r="E361">
        <v>151181786906.03314</v>
      </c>
      <c r="F361">
        <v>5052398</v>
      </c>
      <c r="G361">
        <f t="shared" si="22"/>
        <v>27.03768981702277</v>
      </c>
      <c r="H361">
        <f t="shared" si="22"/>
        <v>25.741748836465639</v>
      </c>
      <c r="I361">
        <f t="shared" si="22"/>
        <v>15.435373540030403</v>
      </c>
      <c r="J361">
        <f t="shared" si="21"/>
        <v>10.306375296435236</v>
      </c>
      <c r="K361">
        <v>3.2302498817443799</v>
      </c>
      <c r="L361">
        <v>148</v>
      </c>
      <c r="M361">
        <f t="shared" si="20"/>
        <v>4.9972122737641147</v>
      </c>
      <c r="N361" s="2">
        <v>0.91200000000000003</v>
      </c>
      <c r="O361">
        <v>1.9000388383865401</v>
      </c>
      <c r="P361">
        <v>2.27712059020996</v>
      </c>
    </row>
    <row r="362" spans="1:16" x14ac:dyDescent="0.25">
      <c r="A362" t="s">
        <v>102</v>
      </c>
      <c r="B362" s="1" t="s">
        <v>26</v>
      </c>
      <c r="C362">
        <v>2013</v>
      </c>
      <c r="D362">
        <v>586841821796.89111</v>
      </c>
      <c r="E362">
        <v>157045202581.22086</v>
      </c>
      <c r="F362">
        <v>5122087</v>
      </c>
      <c r="G362">
        <f t="shared" si="22"/>
        <v>27.098021151631432</v>
      </c>
      <c r="H362">
        <f t="shared" si="22"/>
        <v>25.779799515385353</v>
      </c>
      <c r="I362">
        <f t="shared" si="22"/>
        <v>15.449072531149874</v>
      </c>
      <c r="J362">
        <f t="shared" si="21"/>
        <v>10.330726984235479</v>
      </c>
      <c r="K362">
        <v>3.2604200839996298</v>
      </c>
      <c r="L362">
        <v>163</v>
      </c>
      <c r="M362">
        <f t="shared" si="20"/>
        <v>5.0937502008067623</v>
      </c>
      <c r="N362" s="2">
        <v>0.93200000000000005</v>
      </c>
      <c r="O362">
        <v>1.8954666852951001</v>
      </c>
      <c r="P362">
        <v>2.2393002510070801</v>
      </c>
    </row>
    <row r="363" spans="1:16" x14ac:dyDescent="0.25">
      <c r="A363" t="s">
        <v>102</v>
      </c>
      <c r="B363" s="1" t="s">
        <v>26</v>
      </c>
      <c r="C363">
        <v>2014</v>
      </c>
      <c r="D363">
        <v>581964017237.0946</v>
      </c>
      <c r="E363">
        <v>157729181135.97787</v>
      </c>
      <c r="F363">
        <v>5174559</v>
      </c>
      <c r="G363">
        <f t="shared" si="22"/>
        <v>27.089674456713439</v>
      </c>
      <c r="H363">
        <f t="shared" si="22"/>
        <v>25.784145355876987</v>
      </c>
      <c r="I363">
        <f t="shared" si="22"/>
        <v>15.459264676093195</v>
      </c>
      <c r="J363">
        <f t="shared" si="21"/>
        <v>10.324880679783792</v>
      </c>
      <c r="K363">
        <v>3.1018400192260702</v>
      </c>
      <c r="L363">
        <v>441</v>
      </c>
      <c r="M363">
        <f t="shared" si="20"/>
        <v>6.089044875446846</v>
      </c>
      <c r="N363" s="2">
        <v>0.93500000000000005</v>
      </c>
      <c r="O363">
        <v>1.8051632642746001</v>
      </c>
      <c r="P363">
        <v>2.1110429763793901</v>
      </c>
    </row>
    <row r="364" spans="1:16" x14ac:dyDescent="0.25">
      <c r="A364" t="s">
        <v>102</v>
      </c>
      <c r="B364" s="1" t="s">
        <v>26</v>
      </c>
      <c r="C364">
        <v>2015</v>
      </c>
      <c r="D364">
        <v>505103781349.7569</v>
      </c>
      <c r="E364">
        <v>142633278300.35129</v>
      </c>
      <c r="F364">
        <v>5230067</v>
      </c>
      <c r="G364">
        <f t="shared" si="22"/>
        <v>26.948029752731252</v>
      </c>
      <c r="H364">
        <f t="shared" si="22"/>
        <v>25.68354268586565</v>
      </c>
      <c r="I364">
        <f t="shared" si="22"/>
        <v>15.469934646666506</v>
      </c>
      <c r="J364">
        <f t="shared" si="21"/>
        <v>10.213608039199144</v>
      </c>
      <c r="K364">
        <v>3.2190299034118701</v>
      </c>
      <c r="L364">
        <v>390</v>
      </c>
      <c r="M364">
        <f t="shared" si="20"/>
        <v>5.9661467391236922</v>
      </c>
      <c r="N364" s="2">
        <v>0.93700000000000006</v>
      </c>
      <c r="O364">
        <v>1.80380487442017</v>
      </c>
      <c r="P364">
        <v>2.1455500125885001</v>
      </c>
    </row>
    <row r="365" spans="1:16" x14ac:dyDescent="0.25">
      <c r="A365" t="s">
        <v>102</v>
      </c>
      <c r="B365" s="1" t="s">
        <v>26</v>
      </c>
      <c r="C365">
        <v>2016</v>
      </c>
      <c r="D365">
        <v>515654671469.54694</v>
      </c>
      <c r="E365">
        <v>143236999958.14832</v>
      </c>
      <c r="F365">
        <v>5307317</v>
      </c>
      <c r="G365">
        <f t="shared" si="22"/>
        <v>26.968703137047939</v>
      </c>
      <c r="H365">
        <f t="shared" si="22"/>
        <v>25.687766437694705</v>
      </c>
      <c r="I365">
        <f t="shared" si="22"/>
        <v>15.484596992454989</v>
      </c>
      <c r="J365">
        <f t="shared" si="21"/>
        <v>10.203169445239716</v>
      </c>
      <c r="K365">
        <v>3.2473599910736102</v>
      </c>
      <c r="L365">
        <v>352</v>
      </c>
      <c r="M365">
        <f t="shared" si="20"/>
        <v>5.8636311755980968</v>
      </c>
      <c r="N365" s="2">
        <v>0.93899999999999995</v>
      </c>
      <c r="O365">
        <v>1.84277331829071</v>
      </c>
      <c r="P365">
        <v>2.1055762767791699</v>
      </c>
    </row>
    <row r="366" spans="1:16" x14ac:dyDescent="0.25">
      <c r="A366" t="s">
        <v>102</v>
      </c>
      <c r="B366" s="1" t="s">
        <v>26</v>
      </c>
      <c r="C366">
        <v>2017</v>
      </c>
      <c r="D366">
        <v>541018749769.09711</v>
      </c>
      <c r="E366">
        <v>152888674348.71689</v>
      </c>
      <c r="F366">
        <v>5406464</v>
      </c>
      <c r="G366">
        <f t="shared" si="22"/>
        <v>27.016719772806191</v>
      </c>
      <c r="H366">
        <f t="shared" si="22"/>
        <v>25.752975874860091</v>
      </c>
      <c r="I366">
        <f t="shared" si="22"/>
        <v>15.503105832693937</v>
      </c>
      <c r="J366">
        <f t="shared" si="21"/>
        <v>10.249870042166155</v>
      </c>
      <c r="K366">
        <v>3.3627901077270499</v>
      </c>
      <c r="L366">
        <v>305</v>
      </c>
      <c r="M366">
        <f t="shared" si="20"/>
        <v>5.7203117766074119</v>
      </c>
      <c r="N366" s="2">
        <v>0.94099999999999995</v>
      </c>
      <c r="O366">
        <v>1.78961646556854</v>
      </c>
      <c r="P366">
        <v>2.0992164611816402</v>
      </c>
    </row>
    <row r="367" spans="1:16" x14ac:dyDescent="0.25">
      <c r="A367" t="s">
        <v>102</v>
      </c>
      <c r="B367" s="1" t="s">
        <v>26</v>
      </c>
      <c r="C367">
        <v>2018</v>
      </c>
      <c r="D367">
        <v>555455371487.08936</v>
      </c>
      <c r="E367">
        <v>156879047901.53836</v>
      </c>
      <c r="F367">
        <v>5483210</v>
      </c>
      <c r="G367">
        <f t="shared" si="22"/>
        <v>27.043054103441541</v>
      </c>
      <c r="H367">
        <f t="shared" si="22"/>
        <v>25.77874094985598</v>
      </c>
      <c r="I367">
        <f t="shared" si="22"/>
        <v>15.517201253853372</v>
      </c>
      <c r="J367">
        <f t="shared" si="21"/>
        <v>10.261539696002608</v>
      </c>
      <c r="K367">
        <v>3.3210599422454798</v>
      </c>
      <c r="L367">
        <v>442</v>
      </c>
      <c r="M367">
        <f t="shared" si="20"/>
        <v>6.0913098820776979</v>
      </c>
      <c r="N367" s="2">
        <v>0.94299999999999995</v>
      </c>
      <c r="O367">
        <v>1.82550489902496</v>
      </c>
      <c r="P367">
        <v>2.10926389694214</v>
      </c>
    </row>
    <row r="368" spans="1:16" x14ac:dyDescent="0.25">
      <c r="A368" t="s">
        <v>102</v>
      </c>
      <c r="B368" s="1" t="s">
        <v>26</v>
      </c>
      <c r="C368">
        <v>2019</v>
      </c>
      <c r="D368">
        <v>533879529188.45374</v>
      </c>
      <c r="E368">
        <v>156471491369.30972</v>
      </c>
      <c r="F368">
        <v>5554111</v>
      </c>
      <c r="G368">
        <f t="shared" si="22"/>
        <v>27.00343604968424</v>
      </c>
      <c r="H368">
        <f t="shared" si="22"/>
        <v>25.776139666558404</v>
      </c>
      <c r="I368">
        <f t="shared" si="22"/>
        <v>15.530048932245139</v>
      </c>
      <c r="J368">
        <f t="shared" si="21"/>
        <v>10.246090734313265</v>
      </c>
      <c r="K368">
        <v>3.38757991790771</v>
      </c>
      <c r="L368">
        <v>388</v>
      </c>
      <c r="M368">
        <f t="shared" si="20"/>
        <v>5.9610053396232736</v>
      </c>
      <c r="N368" s="2">
        <v>0.94699999999999995</v>
      </c>
      <c r="O368">
        <v>1.79326152801514</v>
      </c>
      <c r="P368">
        <v>2.0920341014862101</v>
      </c>
    </row>
    <row r="369" spans="1:16" x14ac:dyDescent="0.25">
      <c r="A369" t="s">
        <v>102</v>
      </c>
      <c r="B369" s="1" t="s">
        <v>26</v>
      </c>
      <c r="C369">
        <v>2020</v>
      </c>
      <c r="D369">
        <v>547054174235.87585</v>
      </c>
      <c r="E369">
        <v>161821171841.34698</v>
      </c>
      <c r="F369">
        <v>5569519</v>
      </c>
      <c r="G369">
        <f t="shared" si="22"/>
        <v>27.027813673286815</v>
      </c>
      <c r="H369">
        <f t="shared" si="22"/>
        <v>25.809757684934706</v>
      </c>
      <c r="I369">
        <f t="shared" si="22"/>
        <v>15.532819252698856</v>
      </c>
      <c r="J369">
        <f t="shared" si="21"/>
        <v>10.27693843223585</v>
      </c>
      <c r="K369">
        <v>3.4895999431610099</v>
      </c>
      <c r="L369">
        <v>432</v>
      </c>
      <c r="M369">
        <f t="shared" si="20"/>
        <v>6.0684255882441107</v>
      </c>
      <c r="N369" s="2">
        <v>0.94399999999999995</v>
      </c>
      <c r="O369">
        <v>1.67861640453339</v>
      </c>
      <c r="P369">
        <v>2.0946128368377699</v>
      </c>
    </row>
    <row r="370" spans="1:16" x14ac:dyDescent="0.25">
      <c r="A370" t="s">
        <v>9</v>
      </c>
      <c r="B370" s="1" t="s">
        <v>49</v>
      </c>
      <c r="C370">
        <v>2005</v>
      </c>
      <c r="D370">
        <v>2543180000000</v>
      </c>
      <c r="E370">
        <v>403281818181.81818</v>
      </c>
      <c r="F370">
        <v>30813208</v>
      </c>
      <c r="G370">
        <f t="shared" si="22"/>
        <v>28.564436382403873</v>
      </c>
      <c r="H370">
        <f t="shared" si="22"/>
        <v>26.722901455195593</v>
      </c>
      <c r="I370">
        <f t="shared" si="22"/>
        <v>17.243453987190826</v>
      </c>
      <c r="J370">
        <f t="shared" si="21"/>
        <v>9.4794474680047678</v>
      </c>
      <c r="K370">
        <v>1.54904997348785</v>
      </c>
      <c r="L370">
        <v>10155</v>
      </c>
      <c r="M370">
        <f t="shared" si="20"/>
        <v>9.2257214740144846</v>
      </c>
      <c r="N370" s="2">
        <v>0.89500000000000002</v>
      </c>
      <c r="O370">
        <v>1.6131834983825699</v>
      </c>
      <c r="P370">
        <v>1.89147984981537</v>
      </c>
    </row>
    <row r="371" spans="1:16" x14ac:dyDescent="0.25">
      <c r="A371" t="s">
        <v>9</v>
      </c>
      <c r="B371" s="1" t="s">
        <v>49</v>
      </c>
      <c r="C371">
        <v>2006</v>
      </c>
      <c r="D371">
        <v>2708441582336.7065</v>
      </c>
      <c r="E371">
        <v>446726770929.16284</v>
      </c>
      <c r="F371">
        <v>31317980</v>
      </c>
      <c r="G371">
        <f t="shared" si="22"/>
        <v>28.627394523540289</v>
      </c>
      <c r="H371">
        <f t="shared" si="22"/>
        <v>26.825212993952341</v>
      </c>
      <c r="I371">
        <f t="shared" si="22"/>
        <v>17.259702931476937</v>
      </c>
      <c r="J371">
        <f t="shared" si="21"/>
        <v>9.5655100624754041</v>
      </c>
      <c r="K371">
        <v>1.57539999485016</v>
      </c>
      <c r="L371">
        <v>8261</v>
      </c>
      <c r="M371">
        <f t="shared" ref="M371:M433" si="23">LN(L371)</f>
        <v>9.019300924562506</v>
      </c>
      <c r="N371" s="2">
        <v>0.89400000000000002</v>
      </c>
      <c r="O371">
        <v>1.8399087190628101</v>
      </c>
      <c r="P371">
        <v>1.7829402685165401</v>
      </c>
    </row>
    <row r="372" spans="1:16" x14ac:dyDescent="0.25">
      <c r="A372" t="s">
        <v>9</v>
      </c>
      <c r="B372" s="1" t="s">
        <v>49</v>
      </c>
      <c r="C372">
        <v>2007</v>
      </c>
      <c r="D372">
        <v>3090510204081.6323</v>
      </c>
      <c r="E372">
        <v>516230492196.87872</v>
      </c>
      <c r="F372">
        <v>31527354</v>
      </c>
      <c r="G372">
        <f t="shared" si="22"/>
        <v>28.759357307797814</v>
      </c>
      <c r="H372">
        <f t="shared" si="22"/>
        <v>26.969819192995587</v>
      </c>
      <c r="I372">
        <f t="shared" si="22"/>
        <v>17.266366107923638</v>
      </c>
      <c r="J372">
        <f t="shared" si="21"/>
        <v>9.7034530850719491</v>
      </c>
      <c r="K372">
        <v>1.6170899868011499</v>
      </c>
      <c r="L372">
        <v>7624</v>
      </c>
      <c r="M372">
        <f t="shared" si="23"/>
        <v>8.9390564453340389</v>
      </c>
      <c r="N372" s="2">
        <v>0.89700000000000002</v>
      </c>
      <c r="O372">
        <v>1.8680663108825699</v>
      </c>
      <c r="P372">
        <v>1.732870221138</v>
      </c>
    </row>
    <row r="373" spans="1:16" x14ac:dyDescent="0.25">
      <c r="A373" t="s">
        <v>9</v>
      </c>
      <c r="B373" s="1" t="s">
        <v>49</v>
      </c>
      <c r="C373">
        <v>2008</v>
      </c>
      <c r="D373">
        <v>2929411764705.8823</v>
      </c>
      <c r="E373">
        <v>465998161764.70587</v>
      </c>
      <c r="F373">
        <v>31927772</v>
      </c>
      <c r="G373">
        <f t="shared" si="22"/>
        <v>28.70582275590294</v>
      </c>
      <c r="H373">
        <f t="shared" si="22"/>
        <v>26.867447526353345</v>
      </c>
      <c r="I373">
        <f t="shared" si="22"/>
        <v>17.278986784617807</v>
      </c>
      <c r="J373">
        <f t="shared" si="21"/>
        <v>9.5884607417355383</v>
      </c>
      <c r="K373">
        <v>1.6078599691391</v>
      </c>
      <c r="L373">
        <v>6856</v>
      </c>
      <c r="M373">
        <f t="shared" si="23"/>
        <v>8.8328794602776153</v>
      </c>
      <c r="N373" s="2">
        <v>0.90200000000000002</v>
      </c>
      <c r="O373">
        <v>1.78526794910431</v>
      </c>
      <c r="P373">
        <v>1.6689043045043901</v>
      </c>
    </row>
    <row r="374" spans="1:16" x14ac:dyDescent="0.25">
      <c r="A374" t="s">
        <v>9</v>
      </c>
      <c r="B374" s="1" t="s">
        <v>49</v>
      </c>
      <c r="C374">
        <v>2009</v>
      </c>
      <c r="D374">
        <v>2412840006231.5</v>
      </c>
      <c r="E374">
        <v>331152827543.23102</v>
      </c>
      <c r="F374">
        <v>32084960</v>
      </c>
      <c r="G374">
        <f t="shared" si="22"/>
        <v>28.51182559545461</v>
      </c>
      <c r="H374">
        <f t="shared" si="22"/>
        <v>26.525845820398189</v>
      </c>
      <c r="I374">
        <f t="shared" si="22"/>
        <v>17.283897942477491</v>
      </c>
      <c r="J374">
        <f t="shared" si="21"/>
        <v>9.2419478779206976</v>
      </c>
      <c r="K374">
        <v>1.6665999889373799</v>
      </c>
      <c r="L374">
        <v>6480</v>
      </c>
      <c r="M374">
        <f t="shared" si="23"/>
        <v>8.7764757893463212</v>
      </c>
      <c r="N374" s="2">
        <v>0.90700000000000003</v>
      </c>
      <c r="O374">
        <v>1.58159780502319</v>
      </c>
      <c r="P374">
        <v>1.62388980388641</v>
      </c>
    </row>
    <row r="375" spans="1:16" x14ac:dyDescent="0.25">
      <c r="A375" t="s">
        <v>9</v>
      </c>
      <c r="B375" s="1" t="s">
        <v>49</v>
      </c>
      <c r="C375">
        <v>2010</v>
      </c>
      <c r="D375">
        <v>2485482596184.7095</v>
      </c>
      <c r="E375">
        <v>363301149230.11243</v>
      </c>
      <c r="F375">
        <v>32236187</v>
      </c>
      <c r="G375">
        <f t="shared" si="22"/>
        <v>28.541487960318104</v>
      </c>
      <c r="H375">
        <f t="shared" si="22"/>
        <v>26.618497939477432</v>
      </c>
      <c r="I375">
        <f t="shared" si="22"/>
        <v>17.288600199377576</v>
      </c>
      <c r="J375">
        <f t="shared" si="21"/>
        <v>9.329897740099856</v>
      </c>
      <c r="K375">
        <v>1.63496994972229</v>
      </c>
      <c r="L375">
        <v>6439</v>
      </c>
      <c r="M375">
        <f t="shared" si="23"/>
        <v>8.7701285275381835</v>
      </c>
      <c r="N375" s="2">
        <v>0.91300000000000003</v>
      </c>
      <c r="O375">
        <v>1.73051977157593</v>
      </c>
      <c r="P375">
        <v>1.60567390918732</v>
      </c>
    </row>
    <row r="376" spans="1:16" x14ac:dyDescent="0.25">
      <c r="A376" t="s">
        <v>9</v>
      </c>
      <c r="B376" s="1" t="s">
        <v>49</v>
      </c>
      <c r="C376">
        <v>2011</v>
      </c>
      <c r="D376">
        <v>2663805834828.0723</v>
      </c>
      <c r="E376">
        <v>403282377288.08667</v>
      </c>
      <c r="F376">
        <v>32478068</v>
      </c>
      <c r="G376">
        <f t="shared" si="22"/>
        <v>28.610776981126165</v>
      </c>
      <c r="H376">
        <f t="shared" si="22"/>
        <v>26.722902841585594</v>
      </c>
      <c r="I376">
        <f t="shared" si="22"/>
        <v>17.296075588729963</v>
      </c>
      <c r="J376">
        <f t="shared" si="21"/>
        <v>9.4268272528556309</v>
      </c>
      <c r="K376">
        <v>1.6452100276946999</v>
      </c>
      <c r="L376">
        <v>6916</v>
      </c>
      <c r="M376">
        <f t="shared" si="23"/>
        <v>8.8415928468031808</v>
      </c>
      <c r="N376" s="2">
        <v>0.90900000000000003</v>
      </c>
      <c r="O376">
        <v>1.64937400817871</v>
      </c>
      <c r="P376">
        <v>1.61486351490021</v>
      </c>
    </row>
    <row r="377" spans="1:16" x14ac:dyDescent="0.25">
      <c r="A377" t="s">
        <v>9</v>
      </c>
      <c r="B377" s="1" t="s">
        <v>49</v>
      </c>
      <c r="C377">
        <v>2012</v>
      </c>
      <c r="D377">
        <v>2707089726614.6362</v>
      </c>
      <c r="E377">
        <v>407994990176.32935</v>
      </c>
      <c r="F377">
        <v>32778349</v>
      </c>
      <c r="G377">
        <f t="shared" si="22"/>
        <v>28.626895272156435</v>
      </c>
      <c r="H377">
        <f t="shared" si="22"/>
        <v>26.7345207322956</v>
      </c>
      <c r="I377">
        <f t="shared" si="22"/>
        <v>17.30527876393467</v>
      </c>
      <c r="J377">
        <f t="shared" si="21"/>
        <v>9.4292419683609303</v>
      </c>
      <c r="K377">
        <v>1.57631003856659</v>
      </c>
      <c r="L377">
        <v>7865</v>
      </c>
      <c r="M377">
        <f t="shared" si="23"/>
        <v>8.970177815492379</v>
      </c>
      <c r="N377" s="2">
        <v>0.91</v>
      </c>
      <c r="O377">
        <v>1.63784003257751</v>
      </c>
      <c r="P377">
        <v>1.66546046733856</v>
      </c>
    </row>
    <row r="378" spans="1:16" x14ac:dyDescent="0.25">
      <c r="A378" t="s">
        <v>9</v>
      </c>
      <c r="B378" s="1" t="s">
        <v>49</v>
      </c>
      <c r="C378">
        <v>2013</v>
      </c>
      <c r="D378">
        <v>2784853502534.292</v>
      </c>
      <c r="E378">
        <v>421625170346.15161</v>
      </c>
      <c r="F378">
        <v>33061439</v>
      </c>
      <c r="G378">
        <f t="shared" si="22"/>
        <v>28.655216385602625</v>
      </c>
      <c r="H378">
        <f t="shared" si="22"/>
        <v>26.767382534351036</v>
      </c>
      <c r="I378">
        <f t="shared" si="22"/>
        <v>17.313878176330633</v>
      </c>
      <c r="J378">
        <f t="shared" si="21"/>
        <v>9.4535043580204032</v>
      </c>
      <c r="K378">
        <v>1.6201100349426301</v>
      </c>
      <c r="L378">
        <v>7966</v>
      </c>
      <c r="M378">
        <f t="shared" si="23"/>
        <v>8.9829377637415888</v>
      </c>
      <c r="N378" s="2">
        <v>0.92300000000000004</v>
      </c>
      <c r="O378">
        <v>1.7610878944396999</v>
      </c>
      <c r="P378">
        <v>1.7188925743103001</v>
      </c>
    </row>
    <row r="379" spans="1:16" x14ac:dyDescent="0.25">
      <c r="A379" t="s">
        <v>9</v>
      </c>
      <c r="B379" s="1" t="s">
        <v>49</v>
      </c>
      <c r="C379">
        <v>2014</v>
      </c>
      <c r="D379">
        <v>3064708247921.4277</v>
      </c>
      <c r="E379">
        <v>483468284258.68372</v>
      </c>
      <c r="F379">
        <v>33331376</v>
      </c>
      <c r="G379">
        <f t="shared" si="22"/>
        <v>28.75097349250591</v>
      </c>
      <c r="H379">
        <f t="shared" si="22"/>
        <v>26.904251553532465</v>
      </c>
      <c r="I379">
        <f t="shared" si="22"/>
        <v>17.322009733560169</v>
      </c>
      <c r="J379">
        <f t="shared" si="21"/>
        <v>9.5822418199722961</v>
      </c>
      <c r="K379">
        <v>2.2644999027252202</v>
      </c>
      <c r="L379">
        <v>7844</v>
      </c>
      <c r="M379">
        <f t="shared" si="23"/>
        <v>8.9675041873162371</v>
      </c>
      <c r="N379" s="2">
        <v>0.92400000000000004</v>
      </c>
      <c r="O379">
        <v>1.8195289373397801</v>
      </c>
      <c r="P379">
        <v>1.7466336488723799</v>
      </c>
    </row>
    <row r="380" spans="1:16" x14ac:dyDescent="0.25">
      <c r="A380" t="s">
        <v>9</v>
      </c>
      <c r="B380" s="1" t="s">
        <v>49</v>
      </c>
      <c r="C380">
        <v>2015</v>
      </c>
      <c r="D380">
        <v>2927911140916.7314</v>
      </c>
      <c r="E380">
        <v>478939982156.44666</v>
      </c>
      <c r="F380">
        <v>33614102</v>
      </c>
      <c r="G380">
        <f t="shared" si="22"/>
        <v>28.705310363519537</v>
      </c>
      <c r="H380">
        <f t="shared" si="22"/>
        <v>26.894841128294839</v>
      </c>
      <c r="I380">
        <f t="shared" si="22"/>
        <v>17.330456239263977</v>
      </c>
      <c r="J380">
        <f t="shared" si="21"/>
        <v>9.5643848890308618</v>
      </c>
      <c r="K380">
        <v>2.2702701091766402</v>
      </c>
      <c r="L380">
        <v>7934</v>
      </c>
      <c r="M380">
        <f t="shared" si="23"/>
        <v>8.9789126010742759</v>
      </c>
      <c r="N380" s="2">
        <v>0.92300000000000004</v>
      </c>
      <c r="O380">
        <v>1.83466100692749</v>
      </c>
      <c r="P380">
        <v>1.8315901756286601</v>
      </c>
    </row>
    <row r="381" spans="1:16" x14ac:dyDescent="0.25">
      <c r="A381" t="s">
        <v>9</v>
      </c>
      <c r="B381" s="1" t="s">
        <v>49</v>
      </c>
      <c r="C381">
        <v>2016</v>
      </c>
      <c r="D381">
        <v>2689106566899.6108</v>
      </c>
      <c r="E381">
        <v>431305881183.85138</v>
      </c>
      <c r="F381">
        <v>33939706</v>
      </c>
      <c r="G381">
        <f t="shared" si="22"/>
        <v>28.620230123110407</v>
      </c>
      <c r="H381">
        <f t="shared" si="22"/>
        <v>26.790083376454032</v>
      </c>
      <c r="I381">
        <f t="shared" si="22"/>
        <v>17.340096155387521</v>
      </c>
      <c r="J381">
        <f t="shared" si="21"/>
        <v>9.449987221066511</v>
      </c>
      <c r="K381">
        <v>2.3114500045776398</v>
      </c>
      <c r="L381">
        <v>8183</v>
      </c>
      <c r="M381">
        <f t="shared" si="23"/>
        <v>9.0098141105273815</v>
      </c>
      <c r="N381" s="2">
        <v>0.92600000000000005</v>
      </c>
      <c r="O381">
        <v>1.7493262290954601</v>
      </c>
      <c r="P381">
        <v>1.8506041765212999</v>
      </c>
    </row>
    <row r="382" spans="1:16" x14ac:dyDescent="0.25">
      <c r="A382" t="s">
        <v>9</v>
      </c>
      <c r="B382" s="1" t="s">
        <v>49</v>
      </c>
      <c r="C382">
        <v>2017</v>
      </c>
      <c r="D382">
        <v>2680148052335.2988</v>
      </c>
      <c r="E382">
        <v>459437331182.14911</v>
      </c>
      <c r="F382">
        <v>34128763</v>
      </c>
      <c r="G382">
        <f t="shared" si="22"/>
        <v>28.616893152334146</v>
      </c>
      <c r="H382">
        <f t="shared" si="22"/>
        <v>26.853268384635999</v>
      </c>
      <c r="I382">
        <f t="shared" si="22"/>
        <v>17.345651076452263</v>
      </c>
      <c r="J382">
        <f t="shared" si="21"/>
        <v>9.5076173081837361</v>
      </c>
      <c r="K382">
        <v>2.3231999874114999</v>
      </c>
      <c r="L382">
        <v>8771</v>
      </c>
      <c r="M382">
        <f t="shared" si="23"/>
        <v>9.0792061039513818</v>
      </c>
      <c r="N382" s="2">
        <v>0.92900000000000005</v>
      </c>
      <c r="O382">
        <v>1.70492851734161</v>
      </c>
      <c r="P382">
        <v>1.8136243820190401</v>
      </c>
    </row>
    <row r="383" spans="1:16" x14ac:dyDescent="0.25">
      <c r="A383" t="s">
        <v>9</v>
      </c>
      <c r="B383" s="1" t="s">
        <v>49</v>
      </c>
      <c r="C383">
        <v>2018</v>
      </c>
      <c r="D383">
        <v>2871340347581.7856</v>
      </c>
      <c r="E383">
        <v>482357066712.58142</v>
      </c>
      <c r="F383">
        <v>34415434</v>
      </c>
      <c r="G383">
        <f t="shared" si="22"/>
        <v>28.685800056743489</v>
      </c>
      <c r="H383">
        <f t="shared" si="22"/>
        <v>26.901950479046683</v>
      </c>
      <c r="I383">
        <f t="shared" si="22"/>
        <v>17.354015684515268</v>
      </c>
      <c r="J383">
        <f t="shared" si="21"/>
        <v>9.5479347945314146</v>
      </c>
      <c r="K383">
        <v>2.7048199176788299</v>
      </c>
      <c r="L383">
        <v>8076</v>
      </c>
      <c r="M383">
        <f t="shared" si="23"/>
        <v>8.9966519794327287</v>
      </c>
      <c r="N383" s="2">
        <v>0.92800000000000005</v>
      </c>
      <c r="O383">
        <v>1.7694232463836701</v>
      </c>
      <c r="P383">
        <v>1.8065721988678001</v>
      </c>
    </row>
    <row r="384" spans="1:16" x14ac:dyDescent="0.25">
      <c r="A384" t="s">
        <v>9</v>
      </c>
      <c r="B384" s="1" t="s">
        <v>49</v>
      </c>
      <c r="C384">
        <v>2019</v>
      </c>
      <c r="D384">
        <v>2851407164907.8081</v>
      </c>
      <c r="E384">
        <v>484257282548.13324</v>
      </c>
      <c r="F384">
        <v>34695933</v>
      </c>
      <c r="G384">
        <f t="shared" si="22"/>
        <v>28.678833730431514</v>
      </c>
      <c r="H384">
        <f t="shared" si="22"/>
        <v>26.905882177939503</v>
      </c>
      <c r="I384">
        <f t="shared" si="22"/>
        <v>17.362133033437139</v>
      </c>
      <c r="J384">
        <f t="shared" si="21"/>
        <v>9.5437491445023639</v>
      </c>
      <c r="K384">
        <v>2.6655199527740501</v>
      </c>
      <c r="L384">
        <v>7189</v>
      </c>
      <c r="M384">
        <f t="shared" si="23"/>
        <v>8.8803073589838721</v>
      </c>
      <c r="N384" s="2">
        <v>0.93300000000000005</v>
      </c>
      <c r="O384">
        <v>1.6128572225570701</v>
      </c>
      <c r="P384">
        <v>1.7487723827362101</v>
      </c>
    </row>
    <row r="385" spans="1:16" x14ac:dyDescent="0.25">
      <c r="A385" t="s">
        <v>9</v>
      </c>
      <c r="B385" s="1" t="s">
        <v>49</v>
      </c>
      <c r="C385">
        <v>2020</v>
      </c>
      <c r="D385">
        <v>2697806592293.8604</v>
      </c>
      <c r="E385">
        <v>490509240556.35638</v>
      </c>
      <c r="F385">
        <v>34633314</v>
      </c>
      <c r="G385">
        <f t="shared" si="22"/>
        <v>28.62346018556039</v>
      </c>
      <c r="H385">
        <f t="shared" si="22"/>
        <v>26.918709954829129</v>
      </c>
      <c r="I385">
        <f t="shared" si="22"/>
        <v>17.360326609172123</v>
      </c>
      <c r="J385">
        <f t="shared" si="21"/>
        <v>9.5583833456570062</v>
      </c>
      <c r="K385">
        <v>2.93144011497498</v>
      </c>
      <c r="L385">
        <v>8659</v>
      </c>
      <c r="M385">
        <f t="shared" si="23"/>
        <v>9.066354521447801</v>
      </c>
      <c r="N385" s="2">
        <v>0.92</v>
      </c>
      <c r="O385">
        <v>1.4740239381790201</v>
      </c>
      <c r="P385">
        <v>1.6600604057312001</v>
      </c>
    </row>
    <row r="386" spans="1:16" x14ac:dyDescent="0.25">
      <c r="A386" t="s">
        <v>66</v>
      </c>
      <c r="B386" s="1" t="s">
        <v>68</v>
      </c>
      <c r="C386">
        <v>2005</v>
      </c>
      <c r="D386">
        <v>13039197000000</v>
      </c>
      <c r="E386">
        <v>2308104000000</v>
      </c>
      <c r="F386">
        <v>152044690</v>
      </c>
      <c r="G386">
        <f t="shared" si="22"/>
        <v>30.198981090776343</v>
      </c>
      <c r="H386">
        <f t="shared" si="22"/>
        <v>28.467447524217778</v>
      </c>
      <c r="I386">
        <f t="shared" si="22"/>
        <v>18.839685048755047</v>
      </c>
      <c r="J386">
        <f t="shared" si="21"/>
        <v>9.6277624754627311</v>
      </c>
      <c r="K386">
        <v>2.5019299983978298</v>
      </c>
      <c r="L386">
        <v>182866</v>
      </c>
      <c r="M386">
        <f t="shared" si="23"/>
        <v>12.116508923167428</v>
      </c>
      <c r="N386" s="2">
        <v>0.90400000000000003</v>
      </c>
      <c r="O386">
        <v>1.60669600963593</v>
      </c>
      <c r="P386">
        <v>1.53672695159912</v>
      </c>
    </row>
    <row r="387" spans="1:16" x14ac:dyDescent="0.25">
      <c r="A387" t="s">
        <v>66</v>
      </c>
      <c r="B387" s="1" t="s">
        <v>68</v>
      </c>
      <c r="C387">
        <v>2006</v>
      </c>
      <c r="D387">
        <v>13815583000000</v>
      </c>
      <c r="E387">
        <v>2465394000000</v>
      </c>
      <c r="F387">
        <v>154154002</v>
      </c>
      <c r="G387">
        <f t="shared" ref="G387:I402" si="24">LN(D387)</f>
        <v>30.256818273920207</v>
      </c>
      <c r="H387">
        <f t="shared" si="24"/>
        <v>28.533372748378707</v>
      </c>
      <c r="I387">
        <f t="shared" si="24"/>
        <v>18.853462673685026</v>
      </c>
      <c r="J387">
        <f t="shared" ref="J387:J433" si="25">H387-I387</f>
        <v>9.6799100746936801</v>
      </c>
      <c r="K387">
        <v>2.54544997215271</v>
      </c>
      <c r="L387">
        <v>204182</v>
      </c>
      <c r="M387">
        <f t="shared" si="23"/>
        <v>12.226767031953708</v>
      </c>
      <c r="N387" s="2">
        <v>0.90800000000000003</v>
      </c>
      <c r="O387">
        <v>1.6409434080123899</v>
      </c>
      <c r="P387">
        <v>1.34489262104034</v>
      </c>
    </row>
    <row r="388" spans="1:16" x14ac:dyDescent="0.25">
      <c r="A388" t="s">
        <v>66</v>
      </c>
      <c r="B388" s="1" t="s">
        <v>68</v>
      </c>
      <c r="C388">
        <v>2007</v>
      </c>
      <c r="D388">
        <v>14474228000000</v>
      </c>
      <c r="E388">
        <v>2529102000000</v>
      </c>
      <c r="F388">
        <v>155503665</v>
      </c>
      <c r="G388">
        <f t="shared" si="24"/>
        <v>30.303390804632002</v>
      </c>
      <c r="H388">
        <f t="shared" si="24"/>
        <v>28.558885414950151</v>
      </c>
      <c r="I388">
        <f t="shared" si="24"/>
        <v>18.862179858437649</v>
      </c>
      <c r="J388">
        <f t="shared" si="25"/>
        <v>9.6967055565125015</v>
      </c>
      <c r="K388">
        <v>2.6151599884033199</v>
      </c>
      <c r="L388">
        <v>214807</v>
      </c>
      <c r="M388">
        <f t="shared" si="23"/>
        <v>12.27749522954023</v>
      </c>
      <c r="N388" s="2">
        <v>0.91100000000000003</v>
      </c>
      <c r="O388">
        <v>1.4936876296997099</v>
      </c>
      <c r="P388">
        <v>1.37706923484802</v>
      </c>
    </row>
    <row r="389" spans="1:16" x14ac:dyDescent="0.25">
      <c r="A389" t="s">
        <v>66</v>
      </c>
      <c r="B389" s="1" t="s">
        <v>68</v>
      </c>
      <c r="C389">
        <v>2008</v>
      </c>
      <c r="D389">
        <v>14769862000000</v>
      </c>
      <c r="E389">
        <v>2366339000000</v>
      </c>
      <c r="F389">
        <v>157246174</v>
      </c>
      <c r="G389">
        <f t="shared" si="24"/>
        <v>30.323609869164816</v>
      </c>
      <c r="H389">
        <f t="shared" si="24"/>
        <v>28.492365151018298</v>
      </c>
      <c r="I389">
        <f t="shared" si="24"/>
        <v>18.873323122565203</v>
      </c>
      <c r="J389">
        <f t="shared" si="25"/>
        <v>9.6190420284530944</v>
      </c>
      <c r="K389">
        <v>2.7448101043701199</v>
      </c>
      <c r="L389">
        <v>224733</v>
      </c>
      <c r="M389">
        <f t="shared" si="23"/>
        <v>12.322668309873492</v>
      </c>
      <c r="N389" s="2">
        <v>0.91200000000000003</v>
      </c>
      <c r="O389">
        <v>1.5324580669403101</v>
      </c>
      <c r="P389">
        <v>1.43763339519501</v>
      </c>
    </row>
    <row r="390" spans="1:16" x14ac:dyDescent="0.25">
      <c r="A390" t="s">
        <v>66</v>
      </c>
      <c r="B390" s="1" t="s">
        <v>68</v>
      </c>
      <c r="C390">
        <v>2009</v>
      </c>
      <c r="D390">
        <v>14478067000000</v>
      </c>
      <c r="E390">
        <v>2153419000000</v>
      </c>
      <c r="F390">
        <v>157377606</v>
      </c>
      <c r="G390">
        <f t="shared" si="24"/>
        <v>30.303655999499799</v>
      </c>
      <c r="H390">
        <f t="shared" si="24"/>
        <v>28.398077927545348</v>
      </c>
      <c r="I390">
        <f t="shared" si="24"/>
        <v>18.874158609365633</v>
      </c>
      <c r="J390">
        <f t="shared" si="25"/>
        <v>9.5239193181797148</v>
      </c>
      <c r="K390">
        <v>2.79182004928589</v>
      </c>
      <c r="L390">
        <v>231194</v>
      </c>
      <c r="M390">
        <f t="shared" si="23"/>
        <v>12.351012463886519</v>
      </c>
      <c r="N390" s="2">
        <v>0.91300000000000003</v>
      </c>
      <c r="O390">
        <v>1.39833772182465</v>
      </c>
      <c r="P390">
        <v>1.28647637367249</v>
      </c>
    </row>
    <row r="391" spans="1:16" x14ac:dyDescent="0.25">
      <c r="A391" t="s">
        <v>66</v>
      </c>
      <c r="B391" s="1" t="s">
        <v>68</v>
      </c>
      <c r="C391">
        <v>2010</v>
      </c>
      <c r="D391">
        <v>15048971000000</v>
      </c>
      <c r="E391">
        <v>2277667000000</v>
      </c>
      <c r="F391">
        <v>157357516</v>
      </c>
      <c r="G391">
        <f t="shared" si="24"/>
        <v>30.342330732692933</v>
      </c>
      <c r="H391">
        <f t="shared" si="24"/>
        <v>28.454172789407671</v>
      </c>
      <c r="I391">
        <f t="shared" si="24"/>
        <v>18.874030946460394</v>
      </c>
      <c r="J391">
        <f t="shared" si="25"/>
        <v>9.5801418429472776</v>
      </c>
      <c r="K391">
        <v>2.7144498825073202</v>
      </c>
      <c r="L391">
        <v>248249</v>
      </c>
      <c r="M391">
        <f t="shared" si="23"/>
        <v>12.422187553701924</v>
      </c>
      <c r="N391" s="2">
        <v>0.91600000000000004</v>
      </c>
      <c r="O391">
        <v>1.4438453912735001</v>
      </c>
      <c r="P391">
        <v>1.26525807380676</v>
      </c>
    </row>
    <row r="392" spans="1:16" x14ac:dyDescent="0.25">
      <c r="A392" t="s">
        <v>66</v>
      </c>
      <c r="B392" s="1" t="s">
        <v>68</v>
      </c>
      <c r="C392">
        <v>2011</v>
      </c>
      <c r="D392">
        <v>15599732000000</v>
      </c>
      <c r="E392">
        <v>2389564000000</v>
      </c>
      <c r="F392">
        <v>157443452</v>
      </c>
      <c r="G392">
        <f t="shared" si="24"/>
        <v>30.378274850549293</v>
      </c>
      <c r="H392">
        <f t="shared" si="24"/>
        <v>28.502132038451936</v>
      </c>
      <c r="I392">
        <f t="shared" si="24"/>
        <v>18.874576916840859</v>
      </c>
      <c r="J392">
        <f t="shared" si="25"/>
        <v>9.6275551216110777</v>
      </c>
      <c r="K392">
        <v>2.7380299568176301</v>
      </c>
      <c r="L392">
        <v>255832</v>
      </c>
      <c r="M392">
        <f t="shared" si="23"/>
        <v>12.452276258035415</v>
      </c>
      <c r="N392" s="2">
        <v>0.91800000000000004</v>
      </c>
      <c r="O392">
        <v>1.4550966024398799</v>
      </c>
      <c r="P392">
        <v>1.26211905479431</v>
      </c>
    </row>
    <row r="393" spans="1:16" x14ac:dyDescent="0.25">
      <c r="A393" t="s">
        <v>66</v>
      </c>
      <c r="B393" s="1" t="s">
        <v>68</v>
      </c>
      <c r="C393">
        <v>2012</v>
      </c>
      <c r="D393">
        <v>16253970000000</v>
      </c>
      <c r="E393">
        <v>2691167000000</v>
      </c>
      <c r="F393">
        <v>158452840</v>
      </c>
      <c r="G393">
        <f t="shared" si="24"/>
        <v>30.419358302558337</v>
      </c>
      <c r="H393">
        <f t="shared" si="24"/>
        <v>28.620996044461986</v>
      </c>
      <c r="I393">
        <f t="shared" si="24"/>
        <v>18.880967567575794</v>
      </c>
      <c r="J393">
        <f t="shared" si="25"/>
        <v>9.7400284768861916</v>
      </c>
      <c r="K393">
        <v>2.6728401184082</v>
      </c>
      <c r="L393">
        <v>274033</v>
      </c>
      <c r="M393">
        <f t="shared" si="23"/>
        <v>12.521003816074343</v>
      </c>
      <c r="N393" s="2">
        <v>0.92</v>
      </c>
      <c r="O393">
        <v>1.29439389705658</v>
      </c>
      <c r="P393">
        <v>1.40279400348663</v>
      </c>
    </row>
    <row r="394" spans="1:16" x14ac:dyDescent="0.25">
      <c r="A394" t="s">
        <v>66</v>
      </c>
      <c r="B394" s="1" t="s">
        <v>68</v>
      </c>
      <c r="C394">
        <v>2013</v>
      </c>
      <c r="D394">
        <v>16880683000000</v>
      </c>
      <c r="E394">
        <v>2961705000000</v>
      </c>
      <c r="F394">
        <v>158809862</v>
      </c>
      <c r="G394">
        <f t="shared" si="24"/>
        <v>30.457191066363098</v>
      </c>
      <c r="H394">
        <f t="shared" si="24"/>
        <v>28.716786231945925</v>
      </c>
      <c r="I394">
        <f t="shared" si="24"/>
        <v>18.883218208123541</v>
      </c>
      <c r="J394">
        <f t="shared" si="25"/>
        <v>9.8335680238223837</v>
      </c>
      <c r="K394">
        <v>2.7021501064300502</v>
      </c>
      <c r="L394">
        <v>283781</v>
      </c>
      <c r="M394">
        <f t="shared" si="23"/>
        <v>12.555958092911604</v>
      </c>
      <c r="N394" s="2">
        <v>0.92200000000000004</v>
      </c>
      <c r="O394">
        <v>1.2603886127471899</v>
      </c>
      <c r="P394">
        <v>1.305992603302</v>
      </c>
    </row>
    <row r="395" spans="1:16" x14ac:dyDescent="0.25">
      <c r="A395" t="s">
        <v>66</v>
      </c>
      <c r="B395" s="1" t="s">
        <v>68</v>
      </c>
      <c r="C395">
        <v>2014</v>
      </c>
      <c r="D395">
        <v>17608138000000</v>
      </c>
      <c r="E395">
        <v>3171411000000</v>
      </c>
      <c r="F395">
        <v>159540139</v>
      </c>
      <c r="G395">
        <f t="shared" si="24"/>
        <v>30.499382297468657</v>
      </c>
      <c r="H395">
        <f t="shared" si="24"/>
        <v>28.785197715195579</v>
      </c>
      <c r="I395">
        <f t="shared" si="24"/>
        <v>18.887806103701735</v>
      </c>
      <c r="J395">
        <f t="shared" si="25"/>
        <v>9.8973916114938447</v>
      </c>
      <c r="K395">
        <v>2.7178599834442099</v>
      </c>
      <c r="L395">
        <v>293706</v>
      </c>
      <c r="M395">
        <f t="shared" si="23"/>
        <v>12.590334545987234</v>
      </c>
      <c r="N395" s="2">
        <v>0.92300000000000004</v>
      </c>
      <c r="O395">
        <v>1.27628946304321</v>
      </c>
      <c r="P395">
        <v>1.37168157100677</v>
      </c>
    </row>
    <row r="396" spans="1:16" x14ac:dyDescent="0.25">
      <c r="A396" t="s">
        <v>66</v>
      </c>
      <c r="B396" s="1" t="s">
        <v>68</v>
      </c>
      <c r="C396">
        <v>2015</v>
      </c>
      <c r="D396">
        <v>18295019000000</v>
      </c>
      <c r="E396">
        <v>3393593000000</v>
      </c>
      <c r="F396">
        <v>160644681</v>
      </c>
      <c r="G396">
        <f t="shared" si="24"/>
        <v>30.537649952934299</v>
      </c>
      <c r="H396">
        <f t="shared" si="24"/>
        <v>28.85291035804843</v>
      </c>
      <c r="I396">
        <f t="shared" si="24"/>
        <v>18.894705533734321</v>
      </c>
      <c r="J396">
        <f t="shared" si="25"/>
        <v>9.9582048243141088</v>
      </c>
      <c r="K396">
        <v>2.7869999408721902</v>
      </c>
      <c r="L396">
        <v>301075</v>
      </c>
      <c r="M396">
        <f t="shared" si="23"/>
        <v>12.615114682128681</v>
      </c>
      <c r="N396" s="2">
        <v>0.92400000000000004</v>
      </c>
      <c r="O396">
        <v>1.2422066926956199</v>
      </c>
      <c r="P396">
        <v>1.3583340644836399</v>
      </c>
    </row>
    <row r="397" spans="1:16" x14ac:dyDescent="0.25">
      <c r="A397" t="s">
        <v>66</v>
      </c>
      <c r="B397" s="1" t="s">
        <v>68</v>
      </c>
      <c r="C397">
        <v>2016</v>
      </c>
      <c r="D397">
        <v>18804913000000</v>
      </c>
      <c r="E397">
        <v>3424690000000</v>
      </c>
      <c r="F397">
        <v>162448669</v>
      </c>
      <c r="G397">
        <f t="shared" si="24"/>
        <v>30.565139281411003</v>
      </c>
      <c r="H397">
        <f t="shared" si="24"/>
        <v>28.862032072597469</v>
      </c>
      <c r="I397">
        <f t="shared" si="24"/>
        <v>18.905872626755574</v>
      </c>
      <c r="J397">
        <f t="shared" si="25"/>
        <v>9.9561594458418945</v>
      </c>
      <c r="K397">
        <v>2.8534998893737802</v>
      </c>
      <c r="L397">
        <v>310244</v>
      </c>
      <c r="M397">
        <f t="shared" si="23"/>
        <v>12.645114363637301</v>
      </c>
      <c r="N397" s="2">
        <v>0.92600000000000005</v>
      </c>
      <c r="O397">
        <v>1.4856207370758101</v>
      </c>
      <c r="P397">
        <v>1.33147585391998</v>
      </c>
    </row>
    <row r="398" spans="1:16" x14ac:dyDescent="0.25">
      <c r="A398" t="s">
        <v>66</v>
      </c>
      <c r="B398" s="1" t="s">
        <v>68</v>
      </c>
      <c r="C398">
        <v>2017</v>
      </c>
      <c r="D398">
        <v>19612102000000</v>
      </c>
      <c r="E398">
        <v>3605762000000</v>
      </c>
      <c r="F398">
        <v>163971527</v>
      </c>
      <c r="G398">
        <f t="shared" si="24"/>
        <v>30.607167940601421</v>
      </c>
      <c r="H398">
        <f t="shared" si="24"/>
        <v>28.913554237422243</v>
      </c>
      <c r="I398">
        <f t="shared" si="24"/>
        <v>18.915203354861838</v>
      </c>
      <c r="J398">
        <f t="shared" si="25"/>
        <v>9.9983508825604055</v>
      </c>
      <c r="K398">
        <v>2.9043200016021702</v>
      </c>
      <c r="L398">
        <v>313052</v>
      </c>
      <c r="M398">
        <f t="shared" si="23"/>
        <v>12.654124589908838</v>
      </c>
      <c r="N398" s="2">
        <v>0.92800000000000005</v>
      </c>
      <c r="O398">
        <v>1.6190763711929299</v>
      </c>
      <c r="P398">
        <v>1.3403971195220901</v>
      </c>
    </row>
    <row r="399" spans="1:16" x14ac:dyDescent="0.25">
      <c r="A399" t="s">
        <v>66</v>
      </c>
      <c r="B399" s="1" t="s">
        <v>68</v>
      </c>
      <c r="C399">
        <v>2018</v>
      </c>
      <c r="D399">
        <v>20656516000000</v>
      </c>
      <c r="E399">
        <v>3862343000000</v>
      </c>
      <c r="F399">
        <v>165307010</v>
      </c>
      <c r="G399">
        <f t="shared" si="24"/>
        <v>30.659051930355989</v>
      </c>
      <c r="H399">
        <f t="shared" si="24"/>
        <v>28.9822951100771</v>
      </c>
      <c r="I399">
        <f t="shared" si="24"/>
        <v>18.923314969635566</v>
      </c>
      <c r="J399">
        <f t="shared" si="25"/>
        <v>10.058980140441534</v>
      </c>
      <c r="K399">
        <v>3.0100998878478999</v>
      </c>
      <c r="L399">
        <v>312046</v>
      </c>
      <c r="M399">
        <f t="shared" si="23"/>
        <v>12.650905891821452</v>
      </c>
      <c r="N399" s="2">
        <v>0.93</v>
      </c>
      <c r="O399">
        <v>1.6131399869918801</v>
      </c>
      <c r="P399">
        <v>1.2926782369613601</v>
      </c>
    </row>
    <row r="400" spans="1:16" x14ac:dyDescent="0.25">
      <c r="A400" t="s">
        <v>66</v>
      </c>
      <c r="B400" s="1" t="s">
        <v>68</v>
      </c>
      <c r="C400">
        <v>2019</v>
      </c>
      <c r="D400">
        <v>21521395000000</v>
      </c>
      <c r="E400">
        <v>4088867000000</v>
      </c>
      <c r="F400">
        <v>167100511</v>
      </c>
      <c r="G400">
        <f t="shared" si="24"/>
        <v>30.70006867254126</v>
      </c>
      <c r="H400">
        <f t="shared" si="24"/>
        <v>29.039289030492014</v>
      </c>
      <c r="I400">
        <f t="shared" si="24"/>
        <v>18.934106051610019</v>
      </c>
      <c r="J400">
        <f t="shared" si="25"/>
        <v>10.105182978881995</v>
      </c>
      <c r="K400">
        <v>3.1704900264739999</v>
      </c>
      <c r="L400">
        <v>336340</v>
      </c>
      <c r="M400">
        <f t="shared" si="23"/>
        <v>12.725877832076741</v>
      </c>
      <c r="N400" s="2">
        <v>0.93300000000000005</v>
      </c>
      <c r="O400">
        <v>1.3345745801925699</v>
      </c>
      <c r="P400">
        <v>1.1807328462600699</v>
      </c>
    </row>
    <row r="401" spans="1:16" x14ac:dyDescent="0.25">
      <c r="A401" t="s">
        <v>66</v>
      </c>
      <c r="B401" s="1" t="s">
        <v>68</v>
      </c>
      <c r="C401">
        <v>2020</v>
      </c>
      <c r="D401">
        <v>21322950000000</v>
      </c>
      <c r="E401">
        <v>3938431000000</v>
      </c>
      <c r="F401">
        <v>165649358</v>
      </c>
      <c r="G401">
        <f t="shared" si="24"/>
        <v>30.690805073384091</v>
      </c>
      <c r="H401">
        <f t="shared" si="24"/>
        <v>29.001803536576162</v>
      </c>
      <c r="I401">
        <f t="shared" si="24"/>
        <v>18.925383811061256</v>
      </c>
      <c r="J401">
        <f t="shared" si="25"/>
        <v>10.076419725514906</v>
      </c>
      <c r="K401">
        <v>3.4677700996398899</v>
      </c>
      <c r="L401">
        <v>327586</v>
      </c>
      <c r="M401">
        <f t="shared" si="23"/>
        <v>12.699505895005148</v>
      </c>
      <c r="N401" s="2">
        <v>0.92300000000000004</v>
      </c>
      <c r="O401">
        <v>1.2384375333786</v>
      </c>
      <c r="P401">
        <v>1.0382174253463701</v>
      </c>
    </row>
    <row r="402" spans="1:16" x14ac:dyDescent="0.25">
      <c r="A402" t="s">
        <v>118</v>
      </c>
      <c r="B402" s="1" t="s">
        <v>119</v>
      </c>
      <c r="C402">
        <v>2005</v>
      </c>
      <c r="D402">
        <v>29868657858.008186</v>
      </c>
      <c r="E402">
        <v>3908192001.5653062</v>
      </c>
      <c r="F402">
        <v>3282858</v>
      </c>
      <c r="G402">
        <f t="shared" si="24"/>
        <v>24.120075535389837</v>
      </c>
      <c r="H402">
        <f t="shared" si="24"/>
        <v>22.086340700310394</v>
      </c>
      <c r="I402">
        <f t="shared" si="24"/>
        <v>15.004224942426141</v>
      </c>
      <c r="J402">
        <f t="shared" si="25"/>
        <v>7.0821157578842531</v>
      </c>
      <c r="K402">
        <v>0.44269001483917197</v>
      </c>
      <c r="L402">
        <v>52</v>
      </c>
      <c r="M402">
        <f t="shared" si="23"/>
        <v>3.9512437185814275</v>
      </c>
      <c r="N402" s="2">
        <v>0.76500000000000001</v>
      </c>
      <c r="O402">
        <v>0.657545506954193</v>
      </c>
      <c r="P402">
        <v>1.8745424225926399E-2</v>
      </c>
    </row>
    <row r="403" spans="1:16" x14ac:dyDescent="0.25">
      <c r="A403" t="s">
        <v>118</v>
      </c>
      <c r="B403" s="1" t="s">
        <v>119</v>
      </c>
      <c r="C403">
        <v>2006</v>
      </c>
      <c r="D403">
        <v>34380536495.673927</v>
      </c>
      <c r="E403">
        <v>5144920016.9053793</v>
      </c>
      <c r="F403">
        <v>3369624</v>
      </c>
      <c r="G403">
        <f t="shared" ref="G403:I418" si="26">LN(D403)</f>
        <v>24.260756441656437</v>
      </c>
      <c r="H403">
        <f t="shared" si="26"/>
        <v>22.361275660320601</v>
      </c>
      <c r="I403">
        <f t="shared" si="26"/>
        <v>15.030311723403551</v>
      </c>
      <c r="J403">
        <f t="shared" si="25"/>
        <v>7.3309639369170494</v>
      </c>
      <c r="K403">
        <v>0.44216001033782998</v>
      </c>
      <c r="L403">
        <v>48</v>
      </c>
      <c r="M403">
        <f t="shared" si="23"/>
        <v>3.8712010109078911</v>
      </c>
      <c r="N403" s="2">
        <v>0.77</v>
      </c>
      <c r="O403">
        <v>0.61654043197631803</v>
      </c>
      <c r="P403">
        <v>-0.11058596521616</v>
      </c>
    </row>
    <row r="404" spans="1:16" x14ac:dyDescent="0.25">
      <c r="A404" t="s">
        <v>118</v>
      </c>
      <c r="B404" s="1" t="s">
        <v>119</v>
      </c>
      <c r="C404">
        <v>2007</v>
      </c>
      <c r="D404">
        <v>44432811756.473053</v>
      </c>
      <c r="E404">
        <v>6568833449.9650106</v>
      </c>
      <c r="F404">
        <v>3432707</v>
      </c>
      <c r="G404">
        <f t="shared" si="26"/>
        <v>24.517244036980109</v>
      </c>
      <c r="H404">
        <f t="shared" si="26"/>
        <v>22.605602096594854</v>
      </c>
      <c r="I404">
        <f t="shared" si="26"/>
        <v>15.048859720705426</v>
      </c>
      <c r="J404">
        <f t="shared" si="25"/>
        <v>7.5567423758894279</v>
      </c>
      <c r="K404">
        <v>0.43002998828887901</v>
      </c>
      <c r="L404">
        <v>28</v>
      </c>
      <c r="M404">
        <f t="shared" si="23"/>
        <v>3.3322045101752038</v>
      </c>
      <c r="N404" s="2">
        <v>0.77600000000000002</v>
      </c>
      <c r="O404">
        <v>0.643360614776611</v>
      </c>
      <c r="P404">
        <v>-0.23179240524768799</v>
      </c>
    </row>
    <row r="405" spans="1:16" x14ac:dyDescent="0.25">
      <c r="A405" t="s">
        <v>118</v>
      </c>
      <c r="B405" s="1" t="s">
        <v>119</v>
      </c>
      <c r="C405">
        <v>2008</v>
      </c>
      <c r="D405">
        <v>54480684188.444237</v>
      </c>
      <c r="E405">
        <v>9365834104.2706051</v>
      </c>
      <c r="F405">
        <v>3486533</v>
      </c>
      <c r="G405">
        <f t="shared" si="26"/>
        <v>24.721112057233853</v>
      </c>
      <c r="H405">
        <f t="shared" si="26"/>
        <v>22.960334235002378</v>
      </c>
      <c r="I405">
        <f t="shared" si="26"/>
        <v>15.064418390678002</v>
      </c>
      <c r="J405">
        <f t="shared" si="25"/>
        <v>7.8959158443243762</v>
      </c>
      <c r="K405">
        <v>0.447310000658035</v>
      </c>
      <c r="L405">
        <v>22</v>
      </c>
      <c r="M405">
        <f t="shared" si="23"/>
        <v>3.0910424533583161</v>
      </c>
      <c r="N405" s="2">
        <v>0.78200000000000003</v>
      </c>
      <c r="O405">
        <v>0.73412179946899403</v>
      </c>
      <c r="P405">
        <v>-0.27478733658790599</v>
      </c>
    </row>
    <row r="406" spans="1:16" x14ac:dyDescent="0.25">
      <c r="A406" t="s">
        <v>118</v>
      </c>
      <c r="B406" s="1" t="s">
        <v>119</v>
      </c>
      <c r="C406">
        <v>2009</v>
      </c>
      <c r="D406">
        <v>52023801230.120026</v>
      </c>
      <c r="E406">
        <v>10552130814.705706</v>
      </c>
      <c r="F406">
        <v>3409927</v>
      </c>
      <c r="G406">
        <f t="shared" si="26"/>
        <v>24.674967166771687</v>
      </c>
      <c r="H406">
        <f t="shared" si="26"/>
        <v>23.079593649432582</v>
      </c>
      <c r="I406">
        <f t="shared" si="26"/>
        <v>15.04220144140592</v>
      </c>
      <c r="J406">
        <f t="shared" si="25"/>
        <v>8.0373922080266613</v>
      </c>
      <c r="K406">
        <v>0.49338001012802102</v>
      </c>
      <c r="L406">
        <v>24</v>
      </c>
      <c r="M406">
        <f t="shared" si="23"/>
        <v>3.1780538303479458</v>
      </c>
      <c r="N406" s="2">
        <v>0.78400000000000003</v>
      </c>
      <c r="O406">
        <v>0.69478517770767201</v>
      </c>
      <c r="P406">
        <v>-0.229267567396164</v>
      </c>
    </row>
    <row r="407" spans="1:16" x14ac:dyDescent="0.25">
      <c r="A407" t="s">
        <v>118</v>
      </c>
      <c r="B407" s="1" t="s">
        <v>119</v>
      </c>
      <c r="C407">
        <v>2010</v>
      </c>
      <c r="D407">
        <v>50760929302.51474</v>
      </c>
      <c r="E407">
        <v>9813882600.1491222</v>
      </c>
      <c r="F407">
        <v>3405748</v>
      </c>
      <c r="G407">
        <f t="shared" si="26"/>
        <v>24.65039278739717</v>
      </c>
      <c r="H407">
        <f t="shared" si="26"/>
        <v>23.007063812055218</v>
      </c>
      <c r="I407">
        <f t="shared" si="26"/>
        <v>15.040975150385972</v>
      </c>
      <c r="J407">
        <f t="shared" si="25"/>
        <v>7.9660886616692466</v>
      </c>
      <c r="K407">
        <v>0.56306999921798695</v>
      </c>
      <c r="L407">
        <v>17</v>
      </c>
      <c r="M407">
        <f t="shared" si="23"/>
        <v>2.8332133440562162</v>
      </c>
      <c r="N407" s="2">
        <v>0.79</v>
      </c>
      <c r="O407">
        <v>0.68043255805969205</v>
      </c>
      <c r="P407">
        <v>-0.23702354729175601</v>
      </c>
    </row>
    <row r="408" spans="1:16" x14ac:dyDescent="0.25">
      <c r="A408" t="s">
        <v>118</v>
      </c>
      <c r="B408" s="1" t="s">
        <v>119</v>
      </c>
      <c r="C408">
        <v>2011</v>
      </c>
      <c r="D408">
        <v>57737040780.015656</v>
      </c>
      <c r="E408">
        <v>12422986976.015942</v>
      </c>
      <c r="F408">
        <v>3323514</v>
      </c>
      <c r="G408">
        <f t="shared" si="26"/>
        <v>24.779164759088751</v>
      </c>
      <c r="H408">
        <f t="shared" si="26"/>
        <v>23.242814381800677</v>
      </c>
      <c r="I408">
        <f t="shared" si="26"/>
        <v>15.01653321488156</v>
      </c>
      <c r="J408">
        <f t="shared" si="25"/>
        <v>8.2262811669191169</v>
      </c>
      <c r="K408">
        <v>0.52951002120971702</v>
      </c>
      <c r="L408">
        <v>21</v>
      </c>
      <c r="M408">
        <f t="shared" si="23"/>
        <v>3.044522437723423</v>
      </c>
      <c r="N408" s="2">
        <v>0.79400000000000004</v>
      </c>
      <c r="O408">
        <v>0.55252003669738803</v>
      </c>
      <c r="P408">
        <v>-0.26926437020301802</v>
      </c>
    </row>
    <row r="409" spans="1:16" x14ac:dyDescent="0.25">
      <c r="A409" t="s">
        <v>118</v>
      </c>
      <c r="B409" s="1" t="s">
        <v>119</v>
      </c>
      <c r="C409">
        <v>2012</v>
      </c>
      <c r="D409">
        <v>54288135058.792618</v>
      </c>
      <c r="E409">
        <v>10102105366.879065</v>
      </c>
      <c r="F409">
        <v>3335298</v>
      </c>
      <c r="G409">
        <f t="shared" si="26"/>
        <v>24.717571532805568</v>
      </c>
      <c r="H409">
        <f t="shared" si="26"/>
        <v>23.036009691236735</v>
      </c>
      <c r="I409">
        <f t="shared" si="26"/>
        <v>15.02007258866225</v>
      </c>
      <c r="J409">
        <f t="shared" si="25"/>
        <v>8.015937102574485</v>
      </c>
      <c r="K409">
        <v>0.60035997629165605</v>
      </c>
      <c r="L409">
        <v>14</v>
      </c>
      <c r="M409">
        <f t="shared" si="23"/>
        <v>2.6390573296152584</v>
      </c>
      <c r="N409" s="2">
        <v>0.79800000000000004</v>
      </c>
      <c r="O409">
        <v>0.57471084594726596</v>
      </c>
      <c r="P409">
        <v>-0.281460791826248</v>
      </c>
    </row>
    <row r="410" spans="1:16" x14ac:dyDescent="0.25">
      <c r="A410" t="s">
        <v>118</v>
      </c>
      <c r="B410" s="1" t="s">
        <v>119</v>
      </c>
      <c r="C410">
        <v>2013</v>
      </c>
      <c r="D410">
        <v>55852123989.950432</v>
      </c>
      <c r="E410">
        <v>11420243090.921438</v>
      </c>
      <c r="F410">
        <v>3363140</v>
      </c>
      <c r="G410">
        <f t="shared" si="26"/>
        <v>24.745973391997225</v>
      </c>
      <c r="H410">
        <f t="shared" si="26"/>
        <v>23.158653327368164</v>
      </c>
      <c r="I410">
        <f t="shared" si="26"/>
        <v>15.028385619353395</v>
      </c>
      <c r="J410">
        <f t="shared" si="25"/>
        <v>8.1302677080147685</v>
      </c>
      <c r="K410">
        <v>0.634329974651337</v>
      </c>
      <c r="L410">
        <v>15</v>
      </c>
      <c r="M410">
        <f t="shared" si="23"/>
        <v>2.7080502011022101</v>
      </c>
      <c r="N410" s="2">
        <v>0.80400000000000005</v>
      </c>
      <c r="O410">
        <v>0.54910981655120905</v>
      </c>
      <c r="P410">
        <v>-0.32760494947433499</v>
      </c>
    </row>
    <row r="411" spans="1:16" x14ac:dyDescent="0.25">
      <c r="A411" t="s">
        <v>118</v>
      </c>
      <c r="B411" s="1" t="s">
        <v>119</v>
      </c>
      <c r="C411">
        <v>2014</v>
      </c>
      <c r="D411">
        <v>57157782909.930717</v>
      </c>
      <c r="E411">
        <v>11676584703.165331</v>
      </c>
      <c r="F411">
        <v>3357878</v>
      </c>
      <c r="G411">
        <f t="shared" si="26"/>
        <v>24.769081401815846</v>
      </c>
      <c r="H411">
        <f t="shared" si="26"/>
        <v>23.180851366036741</v>
      </c>
      <c r="I411">
        <f t="shared" si="26"/>
        <v>15.026819784810137</v>
      </c>
      <c r="J411">
        <f t="shared" si="25"/>
        <v>8.1540315812266044</v>
      </c>
      <c r="K411">
        <v>0.790050029754639</v>
      </c>
      <c r="L411">
        <v>16</v>
      </c>
      <c r="M411">
        <f t="shared" si="23"/>
        <v>2.7725887222397811</v>
      </c>
      <c r="N411" s="2">
        <v>0.80700000000000005</v>
      </c>
      <c r="O411">
        <v>0.58527362346649203</v>
      </c>
      <c r="P411">
        <v>-0.30276659131050099</v>
      </c>
    </row>
    <row r="412" spans="1:16" x14ac:dyDescent="0.25">
      <c r="A412" t="s">
        <v>118</v>
      </c>
      <c r="B412" s="1" t="s">
        <v>119</v>
      </c>
      <c r="C412">
        <v>2015</v>
      </c>
      <c r="D412">
        <v>50811995688.677109</v>
      </c>
      <c r="E412">
        <v>11117013841.615612</v>
      </c>
      <c r="F412">
        <v>3333481</v>
      </c>
      <c r="G412">
        <f t="shared" si="26"/>
        <v>24.651398299259103</v>
      </c>
      <c r="H412">
        <f t="shared" si="26"/>
        <v>23.131742550282624</v>
      </c>
      <c r="I412">
        <f t="shared" si="26"/>
        <v>15.019527661308993</v>
      </c>
      <c r="J412">
        <f t="shared" si="25"/>
        <v>8.1122148889736305</v>
      </c>
      <c r="K412">
        <v>0.94916999340057395</v>
      </c>
      <c r="L412">
        <v>11</v>
      </c>
      <c r="M412">
        <f t="shared" si="23"/>
        <v>2.3978952727983707</v>
      </c>
      <c r="N412" s="2">
        <v>0.80900000000000005</v>
      </c>
      <c r="O412">
        <v>0.57826828956604004</v>
      </c>
      <c r="P412">
        <v>-0.34570524096489003</v>
      </c>
    </row>
    <row r="413" spans="1:16" x14ac:dyDescent="0.25">
      <c r="A413" t="s">
        <v>118</v>
      </c>
      <c r="B413" s="1" t="s">
        <v>119</v>
      </c>
      <c r="C413">
        <v>2016</v>
      </c>
      <c r="D413">
        <v>53964253211.839951</v>
      </c>
      <c r="E413">
        <v>12882645310.996662</v>
      </c>
      <c r="F413">
        <v>3265483</v>
      </c>
      <c r="G413">
        <f t="shared" si="26"/>
        <v>24.711587686748278</v>
      </c>
      <c r="H413">
        <f t="shared" si="26"/>
        <v>23.279146917823329</v>
      </c>
      <c r="I413">
        <f t="shared" si="26"/>
        <v>14.998918242370401</v>
      </c>
      <c r="J413">
        <f t="shared" si="25"/>
        <v>8.2802286754529284</v>
      </c>
      <c r="K413">
        <v>0.76976001262664795</v>
      </c>
      <c r="L413">
        <v>11</v>
      </c>
      <c r="M413">
        <f t="shared" si="23"/>
        <v>2.3978952727983707</v>
      </c>
      <c r="N413" s="2">
        <v>0.81</v>
      </c>
      <c r="O413">
        <v>0.70129007101059004</v>
      </c>
      <c r="P413">
        <v>-0.25996926426887501</v>
      </c>
    </row>
    <row r="414" spans="1:16" x14ac:dyDescent="0.25">
      <c r="A414" t="s">
        <v>118</v>
      </c>
      <c r="B414" s="1" t="s">
        <v>119</v>
      </c>
      <c r="C414">
        <v>2017</v>
      </c>
      <c r="D414">
        <v>59309748166.117943</v>
      </c>
      <c r="E414">
        <v>14295936001.848322</v>
      </c>
      <c r="F414">
        <v>3364252</v>
      </c>
      <c r="G414">
        <f t="shared" si="26"/>
        <v>24.806039516726962</v>
      </c>
      <c r="H414">
        <f t="shared" si="26"/>
        <v>23.383241138146087</v>
      </c>
      <c r="I414">
        <f t="shared" si="26"/>
        <v>15.028716208089753</v>
      </c>
      <c r="J414">
        <f t="shared" si="25"/>
        <v>8.3545249300563338</v>
      </c>
      <c r="K414">
        <v>0.73995000123977706</v>
      </c>
      <c r="L414">
        <v>23</v>
      </c>
      <c r="M414">
        <f t="shared" si="23"/>
        <v>3.1354942159291497</v>
      </c>
      <c r="N414" s="2">
        <v>0.81</v>
      </c>
      <c r="O414">
        <v>0.65767627954482999</v>
      </c>
      <c r="P414">
        <v>-0.195962429046631</v>
      </c>
    </row>
    <row r="415" spans="1:16" x14ac:dyDescent="0.25">
      <c r="A415" t="s">
        <v>118</v>
      </c>
      <c r="B415" s="1" t="s">
        <v>119</v>
      </c>
      <c r="C415">
        <v>2018</v>
      </c>
      <c r="D415">
        <v>66370132238.391403</v>
      </c>
      <c r="E415">
        <v>15757008030.916008</v>
      </c>
      <c r="F415">
        <v>3338430</v>
      </c>
      <c r="G415">
        <f t="shared" si="26"/>
        <v>24.918512976544498</v>
      </c>
      <c r="H415">
        <f t="shared" si="26"/>
        <v>23.480551057599097</v>
      </c>
      <c r="I415">
        <f t="shared" si="26"/>
        <v>15.021011194559865</v>
      </c>
      <c r="J415">
        <f t="shared" si="25"/>
        <v>8.4595398630392324</v>
      </c>
      <c r="K415">
        <v>0.75379002094268799</v>
      </c>
      <c r="L415">
        <v>18</v>
      </c>
      <c r="M415">
        <f t="shared" si="23"/>
        <v>2.8903717578961645</v>
      </c>
      <c r="N415" s="2">
        <v>0.81100000000000005</v>
      </c>
      <c r="O415">
        <v>0.60575270652770996</v>
      </c>
      <c r="P415">
        <v>-0.18804033100605</v>
      </c>
    </row>
    <row r="416" spans="1:16" x14ac:dyDescent="0.25">
      <c r="A416" t="s">
        <v>118</v>
      </c>
      <c r="B416" s="1" t="s">
        <v>119</v>
      </c>
      <c r="C416">
        <v>2019</v>
      </c>
      <c r="D416">
        <v>68881010245.549759</v>
      </c>
      <c r="E416">
        <v>16675700875.736935</v>
      </c>
      <c r="F416">
        <v>3391873</v>
      </c>
      <c r="G416">
        <f t="shared" si="26"/>
        <v>24.955646363705569</v>
      </c>
      <c r="H416">
        <f t="shared" si="26"/>
        <v>23.537218459393252</v>
      </c>
      <c r="I416">
        <f t="shared" si="26"/>
        <v>15.036892834155262</v>
      </c>
      <c r="J416">
        <f t="shared" si="25"/>
        <v>8.5003256252379895</v>
      </c>
      <c r="K416">
        <v>0.83236002922058105</v>
      </c>
      <c r="L416">
        <v>7</v>
      </c>
      <c r="M416">
        <f t="shared" si="23"/>
        <v>1.9459101490553132</v>
      </c>
      <c r="N416" s="2">
        <v>0.81299999999999994</v>
      </c>
      <c r="O416">
        <v>0.530806183815002</v>
      </c>
      <c r="P416">
        <v>-0.18078909814357799</v>
      </c>
    </row>
    <row r="417" spans="1:16" x14ac:dyDescent="0.25">
      <c r="A417" t="s">
        <v>118</v>
      </c>
      <c r="B417" s="1" t="s">
        <v>119</v>
      </c>
      <c r="C417">
        <v>2020</v>
      </c>
      <c r="D417">
        <v>70368758395.141037</v>
      </c>
      <c r="E417">
        <v>15677426268.761316</v>
      </c>
      <c r="F417">
        <v>3311854</v>
      </c>
      <c r="G417">
        <f t="shared" si="26"/>
        <v>24.977015228817827</v>
      </c>
      <c r="H417">
        <f t="shared" si="26"/>
        <v>23.475487697373186</v>
      </c>
      <c r="I417">
        <f t="shared" si="26"/>
        <v>15.013018711390037</v>
      </c>
      <c r="J417">
        <f t="shared" si="25"/>
        <v>8.4624689859831488</v>
      </c>
      <c r="K417">
        <v>0.84924000501632702</v>
      </c>
      <c r="L417">
        <v>7</v>
      </c>
      <c r="M417">
        <f t="shared" si="23"/>
        <v>1.9459101490553132</v>
      </c>
      <c r="N417" s="2">
        <v>0.80200000000000005</v>
      </c>
      <c r="O417">
        <v>0.46099072694778398</v>
      </c>
      <c r="P417">
        <v>-0.32211658358573902</v>
      </c>
    </row>
    <row r="418" spans="1:16" x14ac:dyDescent="0.25">
      <c r="A418" t="s">
        <v>120</v>
      </c>
      <c r="B418" s="1" t="s">
        <v>121</v>
      </c>
      <c r="C418">
        <v>2005</v>
      </c>
      <c r="D418">
        <v>98454380120.076065</v>
      </c>
      <c r="E418">
        <v>12445201950.952978</v>
      </c>
      <c r="F418">
        <v>9663356</v>
      </c>
      <c r="G418">
        <f t="shared" si="26"/>
        <v>25.31285913185015</v>
      </c>
      <c r="H418">
        <f t="shared" si="26"/>
        <v>23.244601000111441</v>
      </c>
      <c r="I418">
        <f t="shared" si="26"/>
        <v>16.083851557863404</v>
      </c>
      <c r="J418">
        <f t="shared" si="25"/>
        <v>7.1607494422480364</v>
      </c>
      <c r="K418">
        <v>0.41262000799179099</v>
      </c>
      <c r="L418">
        <v>68</v>
      </c>
      <c r="M418">
        <f t="shared" si="23"/>
        <v>4.219507705176107</v>
      </c>
      <c r="N418" s="2">
        <v>0.75</v>
      </c>
      <c r="O418">
        <v>0.24288612604141199</v>
      </c>
      <c r="P418">
        <v>-0.26054301857948298</v>
      </c>
    </row>
    <row r="419" spans="1:16" x14ac:dyDescent="0.25">
      <c r="A419" t="s">
        <v>120</v>
      </c>
      <c r="B419" s="1" t="s">
        <v>121</v>
      </c>
      <c r="C419">
        <v>2006</v>
      </c>
      <c r="D419">
        <v>122023735992.70625</v>
      </c>
      <c r="E419">
        <v>18701109974.67767</v>
      </c>
      <c r="F419">
        <v>9809182</v>
      </c>
      <c r="G419">
        <f t="shared" ref="G419:I433" si="27">LN(D419)</f>
        <v>25.527481420073112</v>
      </c>
      <c r="H419">
        <f t="shared" si="27"/>
        <v>23.651848715980034</v>
      </c>
      <c r="I419">
        <f t="shared" si="27"/>
        <v>16.098829443763147</v>
      </c>
      <c r="J419">
        <f t="shared" si="25"/>
        <v>7.5530192722168863</v>
      </c>
      <c r="K419">
        <v>0.45682001113891602</v>
      </c>
      <c r="L419">
        <v>62</v>
      </c>
      <c r="M419">
        <f t="shared" si="23"/>
        <v>4.1271343850450917</v>
      </c>
      <c r="N419" s="2">
        <v>0.76800000000000002</v>
      </c>
      <c r="O419">
        <v>0.44195890426635698</v>
      </c>
      <c r="P419">
        <v>-0.209158509969711</v>
      </c>
    </row>
    <row r="420" spans="1:16" x14ac:dyDescent="0.25">
      <c r="A420" t="s">
        <v>120</v>
      </c>
      <c r="B420" s="1" t="s">
        <v>121</v>
      </c>
      <c r="C420">
        <v>2007</v>
      </c>
      <c r="D420">
        <v>174588782938.58301</v>
      </c>
      <c r="E420">
        <v>30122710960.73003</v>
      </c>
      <c r="F420">
        <v>9637035</v>
      </c>
      <c r="G420">
        <f t="shared" si="27"/>
        <v>25.885699233950145</v>
      </c>
      <c r="H420">
        <f t="shared" si="27"/>
        <v>24.12854524116419</v>
      </c>
      <c r="I420">
        <f t="shared" si="27"/>
        <v>16.081124046662463</v>
      </c>
      <c r="J420">
        <f t="shared" si="25"/>
        <v>8.0474211945017267</v>
      </c>
      <c r="K420">
        <v>0.51147997379303001</v>
      </c>
      <c r="L420">
        <v>59</v>
      </c>
      <c r="M420">
        <f t="shared" si="23"/>
        <v>4.0775374439057197</v>
      </c>
      <c r="N420" s="2">
        <v>0.78</v>
      </c>
      <c r="O420">
        <v>0.506391942501068</v>
      </c>
      <c r="P420">
        <v>-0.230330780148506</v>
      </c>
    </row>
    <row r="421" spans="1:16" x14ac:dyDescent="0.25">
      <c r="A421" t="s">
        <v>120</v>
      </c>
      <c r="B421" s="1" t="s">
        <v>121</v>
      </c>
      <c r="C421">
        <v>2008</v>
      </c>
      <c r="D421">
        <v>214317202478.26596</v>
      </c>
      <c r="E421">
        <v>43354329620.804352</v>
      </c>
      <c r="F421">
        <v>9432554</v>
      </c>
      <c r="G421">
        <f t="shared" si="27"/>
        <v>26.09072300908463</v>
      </c>
      <c r="H421">
        <f t="shared" si="27"/>
        <v>24.492672411098138</v>
      </c>
      <c r="I421">
        <f t="shared" si="27"/>
        <v>16.059677455691574</v>
      </c>
      <c r="J421">
        <f t="shared" si="25"/>
        <v>8.4329949554065635</v>
      </c>
      <c r="K421">
        <v>0.55215001106262196</v>
      </c>
      <c r="L421">
        <v>36</v>
      </c>
      <c r="M421">
        <f t="shared" si="23"/>
        <v>3.5835189384561099</v>
      </c>
      <c r="N421" s="2">
        <v>0.80700000000000005</v>
      </c>
      <c r="O421">
        <v>0.59752130508422896</v>
      </c>
      <c r="P421">
        <v>-0.18621614575386</v>
      </c>
    </row>
    <row r="422" spans="1:16" x14ac:dyDescent="0.25">
      <c r="A422" t="s">
        <v>120</v>
      </c>
      <c r="B422" s="1" t="s">
        <v>121</v>
      </c>
      <c r="C422">
        <v>2009</v>
      </c>
      <c r="D422">
        <v>174102268534.83966</v>
      </c>
      <c r="E422">
        <v>36162134242.824234</v>
      </c>
      <c r="F422">
        <v>9338466</v>
      </c>
      <c r="G422">
        <f t="shared" si="27"/>
        <v>25.882908713703667</v>
      </c>
      <c r="H422">
        <f t="shared" si="27"/>
        <v>24.311278392930642</v>
      </c>
      <c r="I422">
        <f t="shared" si="27"/>
        <v>16.049652556887494</v>
      </c>
      <c r="J422">
        <f t="shared" si="25"/>
        <v>8.261625836043148</v>
      </c>
      <c r="K422">
        <v>0.44394999742507901</v>
      </c>
      <c r="L422">
        <v>37</v>
      </c>
      <c r="M422">
        <f t="shared" si="23"/>
        <v>3.6109179126442243</v>
      </c>
      <c r="N422" s="2">
        <v>0.81899999999999995</v>
      </c>
      <c r="O422">
        <v>0.61771494150161699</v>
      </c>
      <c r="P422">
        <v>-0.3098004758358</v>
      </c>
    </row>
    <row r="423" spans="1:16" x14ac:dyDescent="0.25">
      <c r="A423" t="s">
        <v>120</v>
      </c>
      <c r="B423" s="1" t="s">
        <v>121</v>
      </c>
      <c r="C423">
        <v>2010</v>
      </c>
      <c r="D423">
        <v>170029359010.66742</v>
      </c>
      <c r="E423">
        <v>34885364548.91597</v>
      </c>
      <c r="F423">
        <v>9351118</v>
      </c>
      <c r="G423">
        <f t="shared" si="27"/>
        <v>25.859236959148483</v>
      </c>
      <c r="H423">
        <f t="shared" si="27"/>
        <v>24.275333224302102</v>
      </c>
      <c r="I423">
        <f t="shared" si="27"/>
        <v>16.051006466309197</v>
      </c>
      <c r="J423">
        <f t="shared" si="25"/>
        <v>8.2243267579929054</v>
      </c>
      <c r="K423">
        <v>0.44666001200675998</v>
      </c>
      <c r="L423">
        <v>36</v>
      </c>
      <c r="M423">
        <f t="shared" si="23"/>
        <v>3.5835189384561099</v>
      </c>
      <c r="N423" s="2">
        <v>0.81299999999999994</v>
      </c>
      <c r="O423">
        <v>0.67256700992584195</v>
      </c>
      <c r="P423">
        <v>-0.35239461064338701</v>
      </c>
    </row>
    <row r="424" spans="1:16" x14ac:dyDescent="0.25">
      <c r="A424" t="s">
        <v>120</v>
      </c>
      <c r="B424" s="1" t="s">
        <v>121</v>
      </c>
      <c r="C424">
        <v>2011</v>
      </c>
      <c r="D424">
        <v>192613579705.88544</v>
      </c>
      <c r="E424">
        <v>42508318550.630318</v>
      </c>
      <c r="F424">
        <v>9173378</v>
      </c>
      <c r="G424">
        <f t="shared" si="27"/>
        <v>25.983951841124423</v>
      </c>
      <c r="H424">
        <f t="shared" si="27"/>
        <v>24.472965624327113</v>
      </c>
      <c r="I424">
        <f t="shared" si="27"/>
        <v>16.031816151535498</v>
      </c>
      <c r="J424">
        <f t="shared" si="25"/>
        <v>8.441149472791615</v>
      </c>
      <c r="K424">
        <v>0.474590003490448</v>
      </c>
      <c r="L424">
        <v>39</v>
      </c>
      <c r="M424">
        <f t="shared" si="23"/>
        <v>3.6635616461296463</v>
      </c>
      <c r="N424" s="2">
        <v>0.81299999999999994</v>
      </c>
      <c r="O424">
        <v>0.68745982646942105</v>
      </c>
      <c r="P424">
        <v>-0.33349850773811301</v>
      </c>
    </row>
    <row r="425" spans="1:16" x14ac:dyDescent="0.25">
      <c r="A425" t="s">
        <v>120</v>
      </c>
      <c r="B425" s="1" t="s">
        <v>121</v>
      </c>
      <c r="C425">
        <v>2012</v>
      </c>
      <c r="D425">
        <v>179132893143.41733</v>
      </c>
      <c r="E425">
        <v>38591805547.54628</v>
      </c>
      <c r="F425">
        <v>9217871</v>
      </c>
      <c r="G425">
        <f t="shared" si="27"/>
        <v>25.911393787125544</v>
      </c>
      <c r="H425">
        <f t="shared" si="27"/>
        <v>24.376305799365817</v>
      </c>
      <c r="I425">
        <f t="shared" si="27"/>
        <v>16.036654657805805</v>
      </c>
      <c r="J425">
        <f t="shared" si="25"/>
        <v>8.3396511415600116</v>
      </c>
      <c r="K425">
        <v>0.46239998936653098</v>
      </c>
      <c r="L425">
        <v>55</v>
      </c>
      <c r="M425">
        <f t="shared" si="23"/>
        <v>4.0073331852324712</v>
      </c>
      <c r="N425" s="2">
        <v>0.80700000000000005</v>
      </c>
      <c r="O425">
        <v>0.56453311443328902</v>
      </c>
      <c r="P425">
        <v>-0.381443470716476</v>
      </c>
    </row>
    <row r="426" spans="1:16" x14ac:dyDescent="0.25">
      <c r="A426" t="s">
        <v>120</v>
      </c>
      <c r="B426" s="1" t="s">
        <v>121</v>
      </c>
      <c r="C426">
        <v>2013</v>
      </c>
      <c r="D426">
        <v>189789258566.24429</v>
      </c>
      <c r="E426">
        <v>46243280706.820518</v>
      </c>
      <c r="F426">
        <v>9175559</v>
      </c>
      <c r="G426">
        <f t="shared" si="27"/>
        <v>25.969180128086862</v>
      </c>
      <c r="H426">
        <f t="shared" si="27"/>
        <v>24.557182008335701</v>
      </c>
      <c r="I426">
        <f t="shared" si="27"/>
        <v>16.032053876479488</v>
      </c>
      <c r="J426">
        <f t="shared" si="25"/>
        <v>8.5251281318562135</v>
      </c>
      <c r="K426">
        <v>0.39024001359939597</v>
      </c>
      <c r="L426">
        <v>53</v>
      </c>
      <c r="M426">
        <f t="shared" si="23"/>
        <v>3.970291913552122</v>
      </c>
      <c r="N426" s="2">
        <v>0.81100000000000005</v>
      </c>
      <c r="O426">
        <v>0.63441473245620705</v>
      </c>
      <c r="P426">
        <v>-0.30076217651367199</v>
      </c>
    </row>
    <row r="427" spans="1:16" x14ac:dyDescent="0.25">
      <c r="A427" t="s">
        <v>120</v>
      </c>
      <c r="B427" s="1" t="s">
        <v>121</v>
      </c>
      <c r="C427">
        <v>2014</v>
      </c>
      <c r="D427">
        <v>199713780259.3176</v>
      </c>
      <c r="E427">
        <v>49038554270.827896</v>
      </c>
      <c r="F427">
        <v>9205404</v>
      </c>
      <c r="G427">
        <f t="shared" si="27"/>
        <v>26.020151079791251</v>
      </c>
      <c r="H427">
        <f t="shared" si="27"/>
        <v>24.615872647528629</v>
      </c>
      <c r="I427">
        <f t="shared" si="27"/>
        <v>16.035301260876871</v>
      </c>
      <c r="J427">
        <f t="shared" si="25"/>
        <v>8.5805713866517586</v>
      </c>
      <c r="K427">
        <v>0.382079988718033</v>
      </c>
      <c r="L427">
        <v>84</v>
      </c>
      <c r="M427">
        <f t="shared" si="23"/>
        <v>4.4308167988433134</v>
      </c>
      <c r="N427" s="2">
        <v>0.81100000000000005</v>
      </c>
      <c r="O427">
        <v>0.60080534219741799</v>
      </c>
      <c r="P427">
        <v>-0.22387647628784199</v>
      </c>
    </row>
    <row r="428" spans="1:16" x14ac:dyDescent="0.25">
      <c r="A428" t="s">
        <v>120</v>
      </c>
      <c r="B428" s="1" t="s">
        <v>121</v>
      </c>
      <c r="C428">
        <v>2015</v>
      </c>
      <c r="D428">
        <v>177883883008.74738</v>
      </c>
      <c r="E428">
        <v>43936428065.538147</v>
      </c>
      <c r="F428">
        <v>9108577</v>
      </c>
      <c r="G428">
        <f t="shared" si="27"/>
        <v>25.904396831722966</v>
      </c>
      <c r="H428">
        <f t="shared" si="27"/>
        <v>24.506009609418282</v>
      </c>
      <c r="I428">
        <f t="shared" si="27"/>
        <v>16.02472705505949</v>
      </c>
      <c r="J428">
        <f t="shared" si="25"/>
        <v>8.481282554358792</v>
      </c>
      <c r="K428">
        <v>0.48796001076698298</v>
      </c>
      <c r="L428">
        <v>78</v>
      </c>
      <c r="M428">
        <f t="shared" si="23"/>
        <v>4.3567088266895917</v>
      </c>
      <c r="N428" s="2">
        <v>0.81299999999999994</v>
      </c>
      <c r="O428">
        <v>0.56835758686065696</v>
      </c>
      <c r="P428">
        <v>-0.170360878109932</v>
      </c>
    </row>
    <row r="429" spans="1:16" x14ac:dyDescent="0.25">
      <c r="A429" t="s">
        <v>120</v>
      </c>
      <c r="B429" s="1" t="s">
        <v>121</v>
      </c>
      <c r="C429">
        <v>2016</v>
      </c>
      <c r="D429">
        <v>185287630540.43143</v>
      </c>
      <c r="E429">
        <v>42025008480.770638</v>
      </c>
      <c r="F429">
        <v>8915255</v>
      </c>
      <c r="G429">
        <f t="shared" si="27"/>
        <v>25.945175214315217</v>
      </c>
      <c r="H429">
        <f t="shared" si="27"/>
        <v>24.46153071804406</v>
      </c>
      <c r="I429">
        <f t="shared" si="27"/>
        <v>16.00327441234759</v>
      </c>
      <c r="J429">
        <f t="shared" si="25"/>
        <v>8.4582563056964695</v>
      </c>
      <c r="K429">
        <v>0.48864001035690302</v>
      </c>
      <c r="L429">
        <v>58</v>
      </c>
      <c r="M429">
        <f t="shared" si="23"/>
        <v>4.0604430105464191</v>
      </c>
      <c r="N429" s="2">
        <v>0.81499999999999995</v>
      </c>
      <c r="O429">
        <v>0.56633001565933205</v>
      </c>
      <c r="P429">
        <v>-0.177830174565315</v>
      </c>
    </row>
    <row r="430" spans="1:16" x14ac:dyDescent="0.25">
      <c r="A430" t="s">
        <v>120</v>
      </c>
      <c r="B430" s="1" t="s">
        <v>121</v>
      </c>
      <c r="C430">
        <v>2017</v>
      </c>
      <c r="D430">
        <v>210147163769.8483</v>
      </c>
      <c r="E430">
        <v>45071427654.884949</v>
      </c>
      <c r="F430">
        <v>9055160</v>
      </c>
      <c r="G430">
        <f t="shared" si="27"/>
        <v>26.071073902088752</v>
      </c>
      <c r="H430">
        <f t="shared" si="27"/>
        <v>24.531514349537009</v>
      </c>
      <c r="I430">
        <f t="shared" si="27"/>
        <v>16.018845318939235</v>
      </c>
      <c r="J430">
        <f t="shared" si="25"/>
        <v>8.5126690305977739</v>
      </c>
      <c r="K430">
        <v>0.50692999362945601</v>
      </c>
      <c r="L430">
        <v>80</v>
      </c>
      <c r="M430">
        <f t="shared" si="23"/>
        <v>4.3820266346738812</v>
      </c>
      <c r="N430" s="2">
        <v>0.82299999999999995</v>
      </c>
      <c r="O430">
        <v>0.43297314643859902</v>
      </c>
      <c r="P430">
        <v>-0.141028061509132</v>
      </c>
    </row>
    <row r="431" spans="1:16" x14ac:dyDescent="0.25">
      <c r="A431" t="s">
        <v>120</v>
      </c>
      <c r="B431" s="1" t="s">
        <v>121</v>
      </c>
      <c r="C431">
        <v>2018</v>
      </c>
      <c r="D431">
        <v>243316029944.05597</v>
      </c>
      <c r="E431">
        <v>48572603578.683571</v>
      </c>
      <c r="F431">
        <v>8999055</v>
      </c>
      <c r="G431">
        <f t="shared" si="27"/>
        <v>26.217626970073368</v>
      </c>
      <c r="H431">
        <f t="shared" si="27"/>
        <v>24.606325496534538</v>
      </c>
      <c r="I431">
        <f t="shared" si="27"/>
        <v>16.012630129787606</v>
      </c>
      <c r="J431">
        <f t="shared" si="25"/>
        <v>8.5936953667469318</v>
      </c>
      <c r="K431">
        <v>0.49728998541831998</v>
      </c>
      <c r="L431">
        <v>47</v>
      </c>
      <c r="M431">
        <f t="shared" si="23"/>
        <v>3.8501476017100584</v>
      </c>
      <c r="N431" s="2">
        <v>0.82899999999999996</v>
      </c>
      <c r="O431">
        <v>0.40641540288925199</v>
      </c>
      <c r="P431">
        <v>-0.22668845951557201</v>
      </c>
    </row>
    <row r="432" spans="1:16" x14ac:dyDescent="0.25">
      <c r="A432" t="s">
        <v>120</v>
      </c>
      <c r="B432" s="1" t="s">
        <v>121</v>
      </c>
      <c r="C432">
        <v>2019</v>
      </c>
      <c r="D432">
        <v>251017797625.017</v>
      </c>
      <c r="E432">
        <v>50670646601.815781</v>
      </c>
      <c r="F432">
        <v>8972261</v>
      </c>
      <c r="G432">
        <f t="shared" si="27"/>
        <v>26.248789680437</v>
      </c>
      <c r="H432">
        <f t="shared" si="27"/>
        <v>24.648612617391208</v>
      </c>
      <c r="I432">
        <f t="shared" si="27"/>
        <v>16.009648264702903</v>
      </c>
      <c r="J432">
        <f t="shared" si="25"/>
        <v>8.6389643526883049</v>
      </c>
      <c r="K432">
        <v>0.47615998983383201</v>
      </c>
      <c r="L432">
        <v>58</v>
      </c>
      <c r="M432">
        <f t="shared" si="23"/>
        <v>4.0604430105464191</v>
      </c>
      <c r="N432" s="2">
        <v>0.83399999999999996</v>
      </c>
      <c r="O432">
        <v>0.44331443309783902</v>
      </c>
      <c r="P432">
        <v>-0.23652675747871399</v>
      </c>
    </row>
    <row r="433" spans="1:16" x14ac:dyDescent="0.25">
      <c r="A433" t="s">
        <v>120</v>
      </c>
      <c r="B433" s="1" t="s">
        <v>121</v>
      </c>
      <c r="C433">
        <v>2020</v>
      </c>
      <c r="D433">
        <v>251362514349.69714</v>
      </c>
      <c r="E433">
        <v>50845925251.508484</v>
      </c>
      <c r="F433">
        <v>8908333</v>
      </c>
      <c r="G433">
        <f t="shared" si="27"/>
        <v>26.250162014386255</v>
      </c>
      <c r="H433">
        <f t="shared" si="27"/>
        <v>24.652065823516484</v>
      </c>
      <c r="I433">
        <f t="shared" si="27"/>
        <v>16.002497688789123</v>
      </c>
      <c r="J433">
        <f t="shared" si="25"/>
        <v>8.6495681347273603</v>
      </c>
      <c r="K433">
        <v>0.46538001298904402</v>
      </c>
      <c r="L433">
        <v>47</v>
      </c>
      <c r="M433">
        <f t="shared" si="23"/>
        <v>3.8501476017100584</v>
      </c>
      <c r="N433" s="2">
        <v>0.82799999999999996</v>
      </c>
      <c r="O433">
        <v>0.34621754288673401</v>
      </c>
      <c r="P433">
        <v>-9.8242841660976396E-2</v>
      </c>
    </row>
  </sheetData>
  <autoFilter ref="A1:P43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
  <sheetViews>
    <sheetView workbookViewId="0">
      <selection activeCell="C14" sqref="C14"/>
    </sheetView>
  </sheetViews>
  <sheetFormatPr defaultRowHeight="15" x14ac:dyDescent="0.25"/>
  <cols>
    <col min="1" max="1" width="15.85546875" customWidth="1"/>
    <col min="2" max="16" width="50.85546875" customWidth="1"/>
  </cols>
  <sheetData>
    <row r="1" spans="1:16" x14ac:dyDescent="0.25">
      <c r="A1" t="s">
        <v>20</v>
      </c>
      <c r="B1" t="s">
        <v>56</v>
      </c>
      <c r="C1" t="s">
        <v>5</v>
      </c>
      <c r="D1" t="s">
        <v>101</v>
      </c>
      <c r="E1" t="s">
        <v>57</v>
      </c>
      <c r="F1" t="s">
        <v>1</v>
      </c>
      <c r="G1" t="s">
        <v>78</v>
      </c>
      <c r="H1" t="s">
        <v>40</v>
      </c>
      <c r="I1" t="s">
        <v>84</v>
      </c>
      <c r="J1" t="s">
        <v>100</v>
      </c>
      <c r="K1" t="s">
        <v>73</v>
      </c>
      <c r="L1" t="s">
        <v>99</v>
      </c>
      <c r="M1" t="s">
        <v>41</v>
      </c>
      <c r="N1" t="s">
        <v>3</v>
      </c>
      <c r="O1" t="s">
        <v>86</v>
      </c>
      <c r="P1" t="s">
        <v>36</v>
      </c>
    </row>
    <row r="2" spans="1:16" x14ac:dyDescent="0.25">
      <c r="A2" t="s">
        <v>59</v>
      </c>
      <c r="B2" t="s">
        <v>89</v>
      </c>
      <c r="C2" t="s">
        <v>13</v>
      </c>
      <c r="E2" t="s">
        <v>16</v>
      </c>
      <c r="F2" t="s">
        <v>94</v>
      </c>
      <c r="G2" t="s">
        <v>2</v>
      </c>
      <c r="H2" t="s">
        <v>51</v>
      </c>
      <c r="I2" t="s">
        <v>8</v>
      </c>
      <c r="J2" t="s">
        <v>6</v>
      </c>
      <c r="L2" t="s">
        <v>30</v>
      </c>
      <c r="P2" t="s">
        <v>23</v>
      </c>
    </row>
    <row r="3" spans="1:16" x14ac:dyDescent="0.25">
      <c r="A3" t="s">
        <v>15</v>
      </c>
      <c r="B3" t="s">
        <v>89</v>
      </c>
      <c r="C3" t="s">
        <v>58</v>
      </c>
      <c r="E3" t="s">
        <v>61</v>
      </c>
      <c r="F3" t="s">
        <v>94</v>
      </c>
      <c r="G3" t="s">
        <v>2</v>
      </c>
      <c r="H3" t="s">
        <v>51</v>
      </c>
      <c r="I3" t="s">
        <v>8</v>
      </c>
      <c r="P3" t="s">
        <v>23</v>
      </c>
    </row>
    <row r="4" spans="1:16" x14ac:dyDescent="0.25">
      <c r="A4" t="s">
        <v>33</v>
      </c>
      <c r="B4" t="s">
        <v>89</v>
      </c>
      <c r="C4" t="s">
        <v>38</v>
      </c>
      <c r="E4" t="s">
        <v>43</v>
      </c>
      <c r="F4" t="s">
        <v>98</v>
      </c>
      <c r="G4" t="s">
        <v>63</v>
      </c>
      <c r="H4" t="s">
        <v>51</v>
      </c>
      <c r="I4" t="s">
        <v>27</v>
      </c>
      <c r="J4" t="s">
        <v>90</v>
      </c>
      <c r="N4" t="s">
        <v>47</v>
      </c>
      <c r="P4" t="s">
        <v>23</v>
      </c>
    </row>
    <row r="5" spans="1:16" x14ac:dyDescent="0.25">
      <c r="A5" t="s">
        <v>88</v>
      </c>
      <c r="B5" t="s">
        <v>89</v>
      </c>
      <c r="C5" t="s">
        <v>34</v>
      </c>
      <c r="E5" t="s">
        <v>7</v>
      </c>
      <c r="F5" t="s">
        <v>83</v>
      </c>
      <c r="G5" t="s">
        <v>18</v>
      </c>
      <c r="H5" t="s">
        <v>51</v>
      </c>
      <c r="I5" t="s">
        <v>79</v>
      </c>
      <c r="J5" t="s">
        <v>80</v>
      </c>
      <c r="K5" t="s">
        <v>17</v>
      </c>
      <c r="L5" t="s">
        <v>77</v>
      </c>
      <c r="P5" t="s">
        <v>23</v>
      </c>
    </row>
    <row r="6" spans="1:16" x14ac:dyDescent="0.25">
      <c r="A6" t="s">
        <v>64</v>
      </c>
      <c r="B6" t="s">
        <v>89</v>
      </c>
      <c r="C6" t="s">
        <v>93</v>
      </c>
      <c r="D6" t="s">
        <v>14</v>
      </c>
      <c r="E6" t="s">
        <v>82</v>
      </c>
      <c r="F6" t="s">
        <v>97</v>
      </c>
      <c r="G6" t="s">
        <v>18</v>
      </c>
      <c r="H6" t="s">
        <v>51</v>
      </c>
      <c r="I6" t="s">
        <v>27</v>
      </c>
      <c r="J6" t="s">
        <v>22</v>
      </c>
      <c r="K6" t="s">
        <v>105</v>
      </c>
      <c r="L6" t="s">
        <v>96</v>
      </c>
      <c r="P6" t="s">
        <v>23</v>
      </c>
    </row>
    <row r="7" spans="1:16" x14ac:dyDescent="0.25">
      <c r="A7" t="s">
        <v>53</v>
      </c>
      <c r="B7" t="s">
        <v>89</v>
      </c>
      <c r="G7" t="s">
        <v>92</v>
      </c>
      <c r="M7" t="s">
        <v>81</v>
      </c>
      <c r="O7" t="s">
        <v>0</v>
      </c>
      <c r="P7" t="s">
        <v>23</v>
      </c>
    </row>
    <row r="8" spans="1:16" x14ac:dyDescent="0.25">
      <c r="A8" t="s">
        <v>46</v>
      </c>
      <c r="B8" t="s">
        <v>89</v>
      </c>
      <c r="G8" t="s">
        <v>92</v>
      </c>
      <c r="M8" t="s">
        <v>81</v>
      </c>
      <c r="O8" t="s">
        <v>0</v>
      </c>
      <c r="P8" t="s">
        <v>23</v>
      </c>
    </row>
    <row r="9" spans="1:16" x14ac:dyDescent="0.25">
      <c r="A9" t="s">
        <v>110</v>
      </c>
      <c r="B9" t="s">
        <v>89</v>
      </c>
      <c r="C9" t="s">
        <v>111</v>
      </c>
      <c r="D9" t="s">
        <v>112</v>
      </c>
      <c r="E9" t="s">
        <v>94</v>
      </c>
      <c r="F9" t="s">
        <v>113</v>
      </c>
      <c r="G9" t="s">
        <v>51</v>
      </c>
      <c r="H9" t="s">
        <v>114</v>
      </c>
      <c r="I9"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Giang</cp:lastModifiedBy>
  <dcterms:modified xsi:type="dcterms:W3CDTF">2024-11-14T05:28:37Z</dcterms:modified>
</cp:coreProperties>
</file>