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final\"/>
    </mc:Choice>
  </mc:AlternateContent>
  <xr:revisionPtr revIDLastSave="0" documentId="13_ncr:1_{9EDAC4F1-B44C-4A25-8227-810979AFF2FB}" xr6:coauthVersionLast="47" xr6:coauthVersionMax="47" xr10:uidLastSave="{00000000-0000-0000-0000-000000000000}"/>
  <bookViews>
    <workbookView xWindow="-120" yWindow="-120" windowWidth="29040" windowHeight="15840" xr2:uid="{00000000-000D-0000-FFFF-FFFF00000000}"/>
  </bookViews>
  <sheets>
    <sheet name="Data" sheetId="1" r:id="rId1"/>
    <sheet name="Series - Metadata" sheetId="2" r:id="rId2"/>
  </sheets>
  <definedNames>
    <definedName name="_xlnm._FilterDatabase" localSheetId="0" hidden="1">Data!$A$1:$P$345</definedName>
  </definedNames>
  <calcPr calcId="181029"/>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2" i="1"/>
  <c r="G3" i="1"/>
  <c r="H3" i="1"/>
  <c r="I3" i="1"/>
  <c r="G4" i="1"/>
  <c r="H4" i="1"/>
  <c r="I4" i="1"/>
  <c r="G5" i="1"/>
  <c r="H5" i="1"/>
  <c r="I5" i="1"/>
  <c r="G6" i="1"/>
  <c r="H6" i="1"/>
  <c r="I6" i="1"/>
  <c r="G7" i="1"/>
  <c r="H7" i="1"/>
  <c r="I7" i="1"/>
  <c r="G8" i="1"/>
  <c r="H8" i="1"/>
  <c r="I8" i="1"/>
  <c r="G9" i="1"/>
  <c r="H9" i="1"/>
  <c r="I9" i="1"/>
  <c r="G10" i="1"/>
  <c r="H10" i="1"/>
  <c r="I10" i="1"/>
  <c r="G11" i="1"/>
  <c r="H11" i="1"/>
  <c r="I11" i="1"/>
  <c r="G12" i="1"/>
  <c r="H12" i="1"/>
  <c r="I12" i="1"/>
  <c r="G13" i="1"/>
  <c r="H13" i="1"/>
  <c r="I13" i="1"/>
  <c r="G14" i="1"/>
  <c r="H14" i="1"/>
  <c r="I14" i="1"/>
  <c r="G15" i="1"/>
  <c r="H15" i="1"/>
  <c r="I15" i="1"/>
  <c r="G16" i="1"/>
  <c r="H16" i="1"/>
  <c r="I16" i="1"/>
  <c r="G17" i="1"/>
  <c r="H17" i="1"/>
  <c r="I17" i="1"/>
  <c r="G18" i="1"/>
  <c r="H18" i="1"/>
  <c r="I18" i="1"/>
  <c r="G19" i="1"/>
  <c r="H19" i="1"/>
  <c r="I19" i="1"/>
  <c r="G20" i="1"/>
  <c r="H20" i="1"/>
  <c r="I20" i="1"/>
  <c r="G21" i="1"/>
  <c r="H21" i="1"/>
  <c r="I21" i="1"/>
  <c r="G22" i="1"/>
  <c r="H22" i="1"/>
  <c r="I22" i="1"/>
  <c r="G23" i="1"/>
  <c r="H23" i="1"/>
  <c r="I23" i="1"/>
  <c r="G24" i="1"/>
  <c r="H24" i="1"/>
  <c r="I24" i="1"/>
  <c r="G25" i="1"/>
  <c r="H25" i="1"/>
  <c r="I25" i="1"/>
  <c r="G26" i="1"/>
  <c r="H26" i="1"/>
  <c r="I26" i="1"/>
  <c r="G27" i="1"/>
  <c r="H27" i="1"/>
  <c r="I27" i="1"/>
  <c r="G28" i="1"/>
  <c r="H28" i="1"/>
  <c r="I28" i="1"/>
  <c r="G29" i="1"/>
  <c r="H29" i="1"/>
  <c r="I29" i="1"/>
  <c r="G30" i="1"/>
  <c r="H30" i="1"/>
  <c r="I30" i="1"/>
  <c r="G31" i="1"/>
  <c r="H31" i="1"/>
  <c r="I31" i="1"/>
  <c r="G32" i="1"/>
  <c r="H32" i="1"/>
  <c r="I32" i="1"/>
  <c r="G33" i="1"/>
  <c r="H33" i="1"/>
  <c r="I33" i="1"/>
  <c r="G34" i="1"/>
  <c r="H34" i="1"/>
  <c r="I34" i="1"/>
  <c r="G35" i="1"/>
  <c r="H35" i="1"/>
  <c r="I35" i="1"/>
  <c r="G36" i="1"/>
  <c r="H36" i="1"/>
  <c r="I36" i="1"/>
  <c r="G37" i="1"/>
  <c r="H37" i="1"/>
  <c r="I37" i="1"/>
  <c r="G38" i="1"/>
  <c r="H38" i="1"/>
  <c r="I38" i="1"/>
  <c r="G39" i="1"/>
  <c r="H39" i="1"/>
  <c r="I39" i="1"/>
  <c r="G40" i="1"/>
  <c r="H40" i="1"/>
  <c r="I40" i="1"/>
  <c r="G41" i="1"/>
  <c r="H41" i="1"/>
  <c r="I41" i="1"/>
  <c r="G42" i="1"/>
  <c r="H42" i="1"/>
  <c r="I42" i="1"/>
  <c r="G43" i="1"/>
  <c r="H43" i="1"/>
  <c r="I43" i="1"/>
  <c r="G44" i="1"/>
  <c r="H44" i="1"/>
  <c r="I44" i="1"/>
  <c r="G45" i="1"/>
  <c r="H45" i="1"/>
  <c r="I45" i="1"/>
  <c r="G46" i="1"/>
  <c r="H46" i="1"/>
  <c r="I46" i="1"/>
  <c r="G47" i="1"/>
  <c r="H47" i="1"/>
  <c r="I47" i="1"/>
  <c r="G48" i="1"/>
  <c r="H48" i="1"/>
  <c r="I48" i="1"/>
  <c r="G49" i="1"/>
  <c r="H49" i="1"/>
  <c r="I49" i="1"/>
  <c r="G50" i="1"/>
  <c r="H50" i="1"/>
  <c r="I50" i="1"/>
  <c r="G51" i="1"/>
  <c r="H51" i="1"/>
  <c r="I51" i="1"/>
  <c r="G52" i="1"/>
  <c r="H52" i="1"/>
  <c r="I52" i="1"/>
  <c r="G53" i="1"/>
  <c r="H53" i="1"/>
  <c r="I53" i="1"/>
  <c r="G54" i="1"/>
  <c r="H54" i="1"/>
  <c r="I54" i="1"/>
  <c r="G55" i="1"/>
  <c r="H55" i="1"/>
  <c r="I55" i="1"/>
  <c r="G56" i="1"/>
  <c r="H56" i="1"/>
  <c r="I56" i="1"/>
  <c r="G57" i="1"/>
  <c r="H57" i="1"/>
  <c r="I57" i="1"/>
  <c r="G58" i="1"/>
  <c r="H58" i="1"/>
  <c r="I58" i="1"/>
  <c r="G59" i="1"/>
  <c r="H59" i="1"/>
  <c r="I59" i="1"/>
  <c r="G60" i="1"/>
  <c r="H60" i="1"/>
  <c r="I60" i="1"/>
  <c r="G61" i="1"/>
  <c r="H61" i="1"/>
  <c r="I61" i="1"/>
  <c r="G62" i="1"/>
  <c r="H62" i="1"/>
  <c r="I62" i="1"/>
  <c r="G63" i="1"/>
  <c r="H63" i="1"/>
  <c r="I63" i="1"/>
  <c r="G64" i="1"/>
  <c r="H64" i="1"/>
  <c r="I64" i="1"/>
  <c r="G65" i="1"/>
  <c r="H65" i="1"/>
  <c r="I65" i="1"/>
  <c r="G66" i="1"/>
  <c r="H66" i="1"/>
  <c r="I66" i="1"/>
  <c r="G67" i="1"/>
  <c r="H67" i="1"/>
  <c r="I67" i="1"/>
  <c r="G68" i="1"/>
  <c r="H68" i="1"/>
  <c r="I68" i="1"/>
  <c r="G69" i="1"/>
  <c r="H69" i="1"/>
  <c r="I69" i="1"/>
  <c r="G70" i="1"/>
  <c r="H70" i="1"/>
  <c r="I70" i="1"/>
  <c r="G71" i="1"/>
  <c r="H71" i="1"/>
  <c r="I71" i="1"/>
  <c r="G72" i="1"/>
  <c r="H72" i="1"/>
  <c r="I72" i="1"/>
  <c r="G73" i="1"/>
  <c r="H73" i="1"/>
  <c r="I73" i="1"/>
  <c r="G74" i="1"/>
  <c r="H74" i="1"/>
  <c r="I74" i="1"/>
  <c r="G75" i="1"/>
  <c r="H75" i="1"/>
  <c r="I75" i="1"/>
  <c r="G76" i="1"/>
  <c r="H76" i="1"/>
  <c r="I76" i="1"/>
  <c r="G77" i="1"/>
  <c r="H77" i="1"/>
  <c r="I77" i="1"/>
  <c r="G78" i="1"/>
  <c r="H78" i="1"/>
  <c r="I78" i="1"/>
  <c r="G79" i="1"/>
  <c r="H79" i="1"/>
  <c r="I79" i="1"/>
  <c r="G80" i="1"/>
  <c r="H80" i="1"/>
  <c r="I80" i="1"/>
  <c r="G81" i="1"/>
  <c r="H81" i="1"/>
  <c r="I81" i="1"/>
  <c r="G82" i="1"/>
  <c r="H82" i="1"/>
  <c r="I82" i="1"/>
  <c r="G83" i="1"/>
  <c r="H83" i="1"/>
  <c r="I83" i="1"/>
  <c r="G84" i="1"/>
  <c r="H84" i="1"/>
  <c r="I84" i="1"/>
  <c r="G85" i="1"/>
  <c r="H85" i="1"/>
  <c r="I85" i="1"/>
  <c r="G86" i="1"/>
  <c r="H86" i="1"/>
  <c r="I86" i="1"/>
  <c r="G87" i="1"/>
  <c r="H87" i="1"/>
  <c r="I87" i="1"/>
  <c r="G88" i="1"/>
  <c r="H88" i="1"/>
  <c r="I88" i="1"/>
  <c r="G89" i="1"/>
  <c r="H89" i="1"/>
  <c r="I89" i="1"/>
  <c r="G90" i="1"/>
  <c r="H90" i="1"/>
  <c r="I90" i="1"/>
  <c r="G91" i="1"/>
  <c r="H91" i="1"/>
  <c r="I91" i="1"/>
  <c r="G92" i="1"/>
  <c r="H92" i="1"/>
  <c r="I92" i="1"/>
  <c r="G93" i="1"/>
  <c r="H93" i="1"/>
  <c r="I93" i="1"/>
  <c r="G94" i="1"/>
  <c r="H94" i="1"/>
  <c r="I94" i="1"/>
  <c r="G95" i="1"/>
  <c r="H95" i="1"/>
  <c r="I95" i="1"/>
  <c r="G96" i="1"/>
  <c r="H96" i="1"/>
  <c r="I96" i="1"/>
  <c r="G97" i="1"/>
  <c r="H97" i="1"/>
  <c r="I97" i="1"/>
  <c r="G98" i="1"/>
  <c r="H98" i="1"/>
  <c r="I98" i="1"/>
  <c r="G99" i="1"/>
  <c r="H99" i="1"/>
  <c r="I99" i="1"/>
  <c r="G100" i="1"/>
  <c r="H100" i="1"/>
  <c r="I100" i="1"/>
  <c r="G101" i="1"/>
  <c r="H101" i="1"/>
  <c r="I101" i="1"/>
  <c r="G102" i="1"/>
  <c r="H102" i="1"/>
  <c r="I102" i="1"/>
  <c r="G103" i="1"/>
  <c r="H103" i="1"/>
  <c r="I103" i="1"/>
  <c r="G104" i="1"/>
  <c r="H104" i="1"/>
  <c r="I104" i="1"/>
  <c r="G105" i="1"/>
  <c r="H105" i="1"/>
  <c r="I105" i="1"/>
  <c r="G106" i="1"/>
  <c r="H106" i="1"/>
  <c r="I106" i="1"/>
  <c r="G107" i="1"/>
  <c r="H107" i="1"/>
  <c r="I107" i="1"/>
  <c r="G108" i="1"/>
  <c r="H108" i="1"/>
  <c r="I108" i="1"/>
  <c r="G109" i="1"/>
  <c r="H109" i="1"/>
  <c r="I109" i="1"/>
  <c r="G110" i="1"/>
  <c r="H110" i="1"/>
  <c r="I110" i="1"/>
  <c r="G111" i="1"/>
  <c r="H111" i="1"/>
  <c r="I111" i="1"/>
  <c r="G112" i="1"/>
  <c r="H112" i="1"/>
  <c r="I112" i="1"/>
  <c r="G113" i="1"/>
  <c r="H113" i="1"/>
  <c r="I113" i="1"/>
  <c r="G114" i="1"/>
  <c r="H114" i="1"/>
  <c r="I114" i="1"/>
  <c r="G115" i="1"/>
  <c r="H115" i="1"/>
  <c r="I115" i="1"/>
  <c r="G116" i="1"/>
  <c r="H116" i="1"/>
  <c r="I116" i="1"/>
  <c r="G117" i="1"/>
  <c r="H117" i="1"/>
  <c r="I117" i="1"/>
  <c r="G118" i="1"/>
  <c r="H118" i="1"/>
  <c r="I118" i="1"/>
  <c r="G119" i="1"/>
  <c r="H119" i="1"/>
  <c r="I119" i="1"/>
  <c r="G120" i="1"/>
  <c r="H120" i="1"/>
  <c r="I120" i="1"/>
  <c r="G121" i="1"/>
  <c r="H121" i="1"/>
  <c r="I121" i="1"/>
  <c r="G122" i="1"/>
  <c r="H122" i="1"/>
  <c r="I122" i="1"/>
  <c r="G123" i="1"/>
  <c r="H123" i="1"/>
  <c r="I123" i="1"/>
  <c r="G124" i="1"/>
  <c r="H124" i="1"/>
  <c r="I124" i="1"/>
  <c r="G125" i="1"/>
  <c r="H125" i="1"/>
  <c r="I125" i="1"/>
  <c r="G126" i="1"/>
  <c r="H126" i="1"/>
  <c r="I126" i="1"/>
  <c r="G127" i="1"/>
  <c r="H127" i="1"/>
  <c r="I127" i="1"/>
  <c r="G128" i="1"/>
  <c r="H128" i="1"/>
  <c r="I128" i="1"/>
  <c r="G129" i="1"/>
  <c r="H129" i="1"/>
  <c r="I129" i="1"/>
  <c r="G130" i="1"/>
  <c r="H130" i="1"/>
  <c r="I130" i="1"/>
  <c r="G131" i="1"/>
  <c r="H131" i="1"/>
  <c r="I131" i="1"/>
  <c r="G132" i="1"/>
  <c r="H132" i="1"/>
  <c r="I132" i="1"/>
  <c r="G133" i="1"/>
  <c r="H133" i="1"/>
  <c r="I133" i="1"/>
  <c r="G134" i="1"/>
  <c r="H134" i="1"/>
  <c r="I134" i="1"/>
  <c r="G135" i="1"/>
  <c r="H135" i="1"/>
  <c r="I135" i="1"/>
  <c r="G136" i="1"/>
  <c r="H136" i="1"/>
  <c r="I136" i="1"/>
  <c r="G137" i="1"/>
  <c r="H137" i="1"/>
  <c r="I137" i="1"/>
  <c r="G138" i="1"/>
  <c r="H138" i="1"/>
  <c r="I138" i="1"/>
  <c r="G139" i="1"/>
  <c r="H139" i="1"/>
  <c r="I139" i="1"/>
  <c r="G140" i="1"/>
  <c r="H140" i="1"/>
  <c r="I140" i="1"/>
  <c r="G141" i="1"/>
  <c r="H141" i="1"/>
  <c r="I141" i="1"/>
  <c r="G142" i="1"/>
  <c r="H142" i="1"/>
  <c r="I142" i="1"/>
  <c r="G143" i="1"/>
  <c r="H143" i="1"/>
  <c r="I143" i="1"/>
  <c r="G144" i="1"/>
  <c r="H144" i="1"/>
  <c r="I144" i="1"/>
  <c r="G145" i="1"/>
  <c r="H145" i="1"/>
  <c r="I145" i="1"/>
  <c r="G146" i="1"/>
  <c r="H146" i="1"/>
  <c r="I146" i="1"/>
  <c r="G147" i="1"/>
  <c r="H147" i="1"/>
  <c r="I147" i="1"/>
  <c r="G148" i="1"/>
  <c r="H148" i="1"/>
  <c r="I148" i="1"/>
  <c r="G149" i="1"/>
  <c r="H149" i="1"/>
  <c r="I149" i="1"/>
  <c r="G150" i="1"/>
  <c r="H150" i="1"/>
  <c r="I150" i="1"/>
  <c r="G151" i="1"/>
  <c r="H151" i="1"/>
  <c r="I151" i="1"/>
  <c r="G152" i="1"/>
  <c r="H152" i="1"/>
  <c r="I152" i="1"/>
  <c r="G153" i="1"/>
  <c r="H153" i="1"/>
  <c r="I153" i="1"/>
  <c r="G154" i="1"/>
  <c r="H154" i="1"/>
  <c r="I154" i="1"/>
  <c r="G155" i="1"/>
  <c r="H155" i="1"/>
  <c r="I155" i="1"/>
  <c r="G156" i="1"/>
  <c r="H156" i="1"/>
  <c r="I156" i="1"/>
  <c r="G157" i="1"/>
  <c r="H157" i="1"/>
  <c r="I157" i="1"/>
  <c r="G158" i="1"/>
  <c r="H158" i="1"/>
  <c r="I158" i="1"/>
  <c r="G159" i="1"/>
  <c r="H159" i="1"/>
  <c r="I159" i="1"/>
  <c r="G160" i="1"/>
  <c r="H160" i="1"/>
  <c r="I160" i="1"/>
  <c r="G161" i="1"/>
  <c r="H161" i="1"/>
  <c r="I161" i="1"/>
  <c r="G162" i="1"/>
  <c r="H162" i="1"/>
  <c r="I162" i="1"/>
  <c r="G163" i="1"/>
  <c r="H163" i="1"/>
  <c r="I163" i="1"/>
  <c r="G164" i="1"/>
  <c r="H164" i="1"/>
  <c r="I164" i="1"/>
  <c r="G165" i="1"/>
  <c r="H165" i="1"/>
  <c r="I165" i="1"/>
  <c r="G166" i="1"/>
  <c r="H166" i="1"/>
  <c r="I166" i="1"/>
  <c r="G167" i="1"/>
  <c r="H167" i="1"/>
  <c r="I167" i="1"/>
  <c r="G168" i="1"/>
  <c r="H168" i="1"/>
  <c r="I168" i="1"/>
  <c r="G169" i="1"/>
  <c r="H169" i="1"/>
  <c r="I169" i="1"/>
  <c r="G170" i="1"/>
  <c r="H170" i="1"/>
  <c r="I170" i="1"/>
  <c r="G171" i="1"/>
  <c r="H171" i="1"/>
  <c r="I171" i="1"/>
  <c r="G172" i="1"/>
  <c r="H172" i="1"/>
  <c r="I172" i="1"/>
  <c r="G173" i="1"/>
  <c r="H173" i="1"/>
  <c r="I173" i="1"/>
  <c r="G174" i="1"/>
  <c r="H174" i="1"/>
  <c r="I174" i="1"/>
  <c r="G175" i="1"/>
  <c r="H175" i="1"/>
  <c r="I175" i="1"/>
  <c r="G176" i="1"/>
  <c r="H176" i="1"/>
  <c r="I176" i="1"/>
  <c r="G177" i="1"/>
  <c r="H177" i="1"/>
  <c r="I177" i="1"/>
  <c r="G178" i="1"/>
  <c r="H178" i="1"/>
  <c r="I178" i="1"/>
  <c r="G179" i="1"/>
  <c r="H179" i="1"/>
  <c r="I179" i="1"/>
  <c r="G180" i="1"/>
  <c r="H180" i="1"/>
  <c r="I180" i="1"/>
  <c r="G181" i="1"/>
  <c r="H181" i="1"/>
  <c r="I181" i="1"/>
  <c r="G182" i="1"/>
  <c r="H182" i="1"/>
  <c r="I182" i="1"/>
  <c r="G183" i="1"/>
  <c r="H183" i="1"/>
  <c r="I183" i="1"/>
  <c r="G184" i="1"/>
  <c r="H184" i="1"/>
  <c r="I184" i="1"/>
  <c r="G185" i="1"/>
  <c r="H185" i="1"/>
  <c r="I185" i="1"/>
  <c r="G186" i="1"/>
  <c r="H186" i="1"/>
  <c r="I186" i="1"/>
  <c r="G187" i="1"/>
  <c r="H187" i="1"/>
  <c r="I187" i="1"/>
  <c r="G188" i="1"/>
  <c r="H188" i="1"/>
  <c r="I188" i="1"/>
  <c r="G189" i="1"/>
  <c r="H189" i="1"/>
  <c r="I189" i="1"/>
  <c r="G190" i="1"/>
  <c r="H190" i="1"/>
  <c r="I190" i="1"/>
  <c r="G191" i="1"/>
  <c r="H191" i="1"/>
  <c r="I191" i="1"/>
  <c r="G192" i="1"/>
  <c r="H192" i="1"/>
  <c r="I192" i="1"/>
  <c r="G193" i="1"/>
  <c r="H193" i="1"/>
  <c r="I193" i="1"/>
  <c r="G194" i="1"/>
  <c r="H194" i="1"/>
  <c r="I194" i="1"/>
  <c r="G195" i="1"/>
  <c r="H195" i="1"/>
  <c r="I195" i="1"/>
  <c r="G196" i="1"/>
  <c r="H196" i="1"/>
  <c r="I196" i="1"/>
  <c r="G197" i="1"/>
  <c r="H197" i="1"/>
  <c r="I197" i="1"/>
  <c r="G198" i="1"/>
  <c r="H198" i="1"/>
  <c r="I198" i="1"/>
  <c r="G199" i="1"/>
  <c r="H199" i="1"/>
  <c r="I199" i="1"/>
  <c r="G200" i="1"/>
  <c r="H200" i="1"/>
  <c r="I200" i="1"/>
  <c r="G201" i="1"/>
  <c r="H201" i="1"/>
  <c r="I201" i="1"/>
  <c r="G202" i="1"/>
  <c r="H202" i="1"/>
  <c r="I202" i="1"/>
  <c r="G203" i="1"/>
  <c r="H203" i="1"/>
  <c r="I203" i="1"/>
  <c r="G204" i="1"/>
  <c r="H204" i="1"/>
  <c r="I204" i="1"/>
  <c r="G205" i="1"/>
  <c r="H205" i="1"/>
  <c r="I205" i="1"/>
  <c r="G206" i="1"/>
  <c r="H206" i="1"/>
  <c r="I206" i="1"/>
  <c r="G207" i="1"/>
  <c r="H207" i="1"/>
  <c r="I207" i="1"/>
  <c r="G208" i="1"/>
  <c r="H208" i="1"/>
  <c r="I208" i="1"/>
  <c r="G209" i="1"/>
  <c r="H209" i="1"/>
  <c r="I209" i="1"/>
  <c r="G210" i="1"/>
  <c r="H210" i="1"/>
  <c r="I210" i="1"/>
  <c r="G211" i="1"/>
  <c r="H211" i="1"/>
  <c r="I211" i="1"/>
  <c r="G212" i="1"/>
  <c r="H212" i="1"/>
  <c r="I212" i="1"/>
  <c r="G213" i="1"/>
  <c r="H213" i="1"/>
  <c r="I213" i="1"/>
  <c r="G214" i="1"/>
  <c r="H214" i="1"/>
  <c r="I214" i="1"/>
  <c r="G215" i="1"/>
  <c r="H215" i="1"/>
  <c r="I215" i="1"/>
  <c r="G216" i="1"/>
  <c r="H216" i="1"/>
  <c r="I216" i="1"/>
  <c r="G217" i="1"/>
  <c r="H217" i="1"/>
  <c r="I217" i="1"/>
  <c r="G218" i="1"/>
  <c r="H218" i="1"/>
  <c r="I218" i="1"/>
  <c r="G219" i="1"/>
  <c r="H219" i="1"/>
  <c r="I219" i="1"/>
  <c r="G220" i="1"/>
  <c r="H220" i="1"/>
  <c r="I220" i="1"/>
  <c r="G221" i="1"/>
  <c r="H221" i="1"/>
  <c r="I221" i="1"/>
  <c r="G222" i="1"/>
  <c r="H222" i="1"/>
  <c r="I222" i="1"/>
  <c r="G223" i="1"/>
  <c r="H223" i="1"/>
  <c r="I223" i="1"/>
  <c r="G224" i="1"/>
  <c r="H224" i="1"/>
  <c r="I224" i="1"/>
  <c r="G225" i="1"/>
  <c r="H225" i="1"/>
  <c r="I225" i="1"/>
  <c r="G226" i="1"/>
  <c r="H226" i="1"/>
  <c r="I226" i="1"/>
  <c r="G227" i="1"/>
  <c r="H227" i="1"/>
  <c r="I227" i="1"/>
  <c r="G228" i="1"/>
  <c r="H228" i="1"/>
  <c r="I228" i="1"/>
  <c r="G229" i="1"/>
  <c r="H229" i="1"/>
  <c r="I229" i="1"/>
  <c r="G230" i="1"/>
  <c r="H230" i="1"/>
  <c r="I230" i="1"/>
  <c r="G231" i="1"/>
  <c r="H231" i="1"/>
  <c r="I231" i="1"/>
  <c r="G232" i="1"/>
  <c r="H232" i="1"/>
  <c r="I232" i="1"/>
  <c r="G233" i="1"/>
  <c r="H233" i="1"/>
  <c r="I233" i="1"/>
  <c r="G234" i="1"/>
  <c r="H234" i="1"/>
  <c r="I234" i="1"/>
  <c r="G235" i="1"/>
  <c r="H235" i="1"/>
  <c r="I235" i="1"/>
  <c r="G236" i="1"/>
  <c r="H236" i="1"/>
  <c r="I236" i="1"/>
  <c r="G237" i="1"/>
  <c r="H237" i="1"/>
  <c r="I237" i="1"/>
  <c r="G238" i="1"/>
  <c r="H238" i="1"/>
  <c r="I238" i="1"/>
  <c r="G239" i="1"/>
  <c r="H239" i="1"/>
  <c r="I239" i="1"/>
  <c r="G240" i="1"/>
  <c r="H240" i="1"/>
  <c r="I240" i="1"/>
  <c r="G241" i="1"/>
  <c r="H241" i="1"/>
  <c r="I241" i="1"/>
  <c r="G242" i="1"/>
  <c r="H242" i="1"/>
  <c r="I242" i="1"/>
  <c r="G243" i="1"/>
  <c r="H243" i="1"/>
  <c r="I243" i="1"/>
  <c r="G244" i="1"/>
  <c r="H244" i="1"/>
  <c r="I244" i="1"/>
  <c r="G245" i="1"/>
  <c r="H245" i="1"/>
  <c r="I245" i="1"/>
  <c r="G246" i="1"/>
  <c r="H246" i="1"/>
  <c r="I246" i="1"/>
  <c r="G247" i="1"/>
  <c r="H247" i="1"/>
  <c r="I247" i="1"/>
  <c r="G248" i="1"/>
  <c r="H248" i="1"/>
  <c r="I248" i="1"/>
  <c r="G249" i="1"/>
  <c r="H249" i="1"/>
  <c r="I249" i="1"/>
  <c r="G250" i="1"/>
  <c r="H250" i="1"/>
  <c r="I250" i="1"/>
  <c r="G251" i="1"/>
  <c r="H251" i="1"/>
  <c r="I251" i="1"/>
  <c r="G252" i="1"/>
  <c r="H252" i="1"/>
  <c r="I252" i="1"/>
  <c r="G253" i="1"/>
  <c r="H253" i="1"/>
  <c r="I253" i="1"/>
  <c r="G254" i="1"/>
  <c r="H254" i="1"/>
  <c r="I254" i="1"/>
  <c r="G255" i="1"/>
  <c r="H255" i="1"/>
  <c r="I255" i="1"/>
  <c r="G256" i="1"/>
  <c r="H256" i="1"/>
  <c r="I256" i="1"/>
  <c r="G257" i="1"/>
  <c r="H257" i="1"/>
  <c r="I257" i="1"/>
  <c r="G258" i="1"/>
  <c r="H258" i="1"/>
  <c r="I258" i="1"/>
  <c r="G259" i="1"/>
  <c r="H259" i="1"/>
  <c r="I259" i="1"/>
  <c r="G260" i="1"/>
  <c r="H260" i="1"/>
  <c r="I260" i="1"/>
  <c r="G261" i="1"/>
  <c r="H261" i="1"/>
  <c r="I261" i="1"/>
  <c r="G262" i="1"/>
  <c r="H262" i="1"/>
  <c r="I262" i="1"/>
  <c r="G263" i="1"/>
  <c r="H263" i="1"/>
  <c r="I263" i="1"/>
  <c r="G264" i="1"/>
  <c r="H264" i="1"/>
  <c r="I264" i="1"/>
  <c r="G265" i="1"/>
  <c r="H265" i="1"/>
  <c r="I265" i="1"/>
  <c r="G266" i="1"/>
  <c r="H266" i="1"/>
  <c r="I266" i="1"/>
  <c r="G267" i="1"/>
  <c r="H267" i="1"/>
  <c r="I267" i="1"/>
  <c r="G268" i="1"/>
  <c r="H268" i="1"/>
  <c r="I268" i="1"/>
  <c r="G269" i="1"/>
  <c r="H269" i="1"/>
  <c r="I269" i="1"/>
  <c r="G270" i="1"/>
  <c r="H270" i="1"/>
  <c r="I270" i="1"/>
  <c r="G271" i="1"/>
  <c r="H271" i="1"/>
  <c r="I271" i="1"/>
  <c r="G272" i="1"/>
  <c r="H272" i="1"/>
  <c r="I272" i="1"/>
  <c r="G273" i="1"/>
  <c r="H273" i="1"/>
  <c r="I273" i="1"/>
  <c r="G274" i="1"/>
  <c r="H274" i="1"/>
  <c r="I274" i="1"/>
  <c r="G275" i="1"/>
  <c r="H275" i="1"/>
  <c r="I275" i="1"/>
  <c r="G276" i="1"/>
  <c r="H276" i="1"/>
  <c r="I276" i="1"/>
  <c r="G277" i="1"/>
  <c r="H277" i="1"/>
  <c r="I277" i="1"/>
  <c r="G278" i="1"/>
  <c r="H278" i="1"/>
  <c r="I278" i="1"/>
  <c r="G279" i="1"/>
  <c r="H279" i="1"/>
  <c r="I279" i="1"/>
  <c r="G280" i="1"/>
  <c r="H280" i="1"/>
  <c r="I280" i="1"/>
  <c r="G281" i="1"/>
  <c r="H281" i="1"/>
  <c r="I281" i="1"/>
  <c r="G282" i="1"/>
  <c r="H282" i="1"/>
  <c r="I282" i="1"/>
  <c r="G283" i="1"/>
  <c r="H283" i="1"/>
  <c r="I283" i="1"/>
  <c r="G284" i="1"/>
  <c r="H284" i="1"/>
  <c r="I284" i="1"/>
  <c r="G285" i="1"/>
  <c r="H285" i="1"/>
  <c r="I285" i="1"/>
  <c r="G286" i="1"/>
  <c r="H286" i="1"/>
  <c r="I286" i="1"/>
  <c r="G287" i="1"/>
  <c r="H287" i="1"/>
  <c r="I287" i="1"/>
  <c r="G288" i="1"/>
  <c r="H288" i="1"/>
  <c r="I288" i="1"/>
  <c r="G289" i="1"/>
  <c r="H289" i="1"/>
  <c r="I289" i="1"/>
  <c r="G290" i="1"/>
  <c r="H290" i="1"/>
  <c r="I290" i="1"/>
  <c r="G291" i="1"/>
  <c r="H291" i="1"/>
  <c r="I291" i="1"/>
  <c r="G292" i="1"/>
  <c r="H292" i="1"/>
  <c r="I292" i="1"/>
  <c r="G293" i="1"/>
  <c r="H293" i="1"/>
  <c r="I293" i="1"/>
  <c r="G294" i="1"/>
  <c r="H294" i="1"/>
  <c r="I294" i="1"/>
  <c r="G295" i="1"/>
  <c r="H295" i="1"/>
  <c r="I295" i="1"/>
  <c r="G296" i="1"/>
  <c r="H296" i="1"/>
  <c r="I296" i="1"/>
  <c r="G297" i="1"/>
  <c r="H297" i="1"/>
  <c r="I297" i="1"/>
  <c r="G298" i="1"/>
  <c r="H298" i="1"/>
  <c r="I298" i="1"/>
  <c r="G299" i="1"/>
  <c r="H299" i="1"/>
  <c r="I299" i="1"/>
  <c r="G300" i="1"/>
  <c r="H300" i="1"/>
  <c r="I300" i="1"/>
  <c r="G301" i="1"/>
  <c r="H301" i="1"/>
  <c r="I301" i="1"/>
  <c r="G302" i="1"/>
  <c r="H302" i="1"/>
  <c r="I302" i="1"/>
  <c r="G303" i="1"/>
  <c r="H303" i="1"/>
  <c r="I303" i="1"/>
  <c r="G304" i="1"/>
  <c r="H304" i="1"/>
  <c r="I304" i="1"/>
  <c r="G305" i="1"/>
  <c r="H305" i="1"/>
  <c r="I305" i="1"/>
  <c r="G306" i="1"/>
  <c r="H306" i="1"/>
  <c r="I306" i="1"/>
  <c r="G307" i="1"/>
  <c r="H307" i="1"/>
  <c r="I307" i="1"/>
  <c r="G308" i="1"/>
  <c r="H308" i="1"/>
  <c r="I308" i="1"/>
  <c r="G309" i="1"/>
  <c r="H309" i="1"/>
  <c r="I309" i="1"/>
  <c r="G310" i="1"/>
  <c r="H310" i="1"/>
  <c r="I310" i="1"/>
  <c r="G311" i="1"/>
  <c r="H311" i="1"/>
  <c r="I311" i="1"/>
  <c r="G312" i="1"/>
  <c r="H312" i="1"/>
  <c r="I312" i="1"/>
  <c r="G313" i="1"/>
  <c r="H313" i="1"/>
  <c r="I313" i="1"/>
  <c r="G314" i="1"/>
  <c r="H314" i="1"/>
  <c r="I314" i="1"/>
  <c r="G315" i="1"/>
  <c r="H315" i="1"/>
  <c r="I315" i="1"/>
  <c r="G316" i="1"/>
  <c r="H316" i="1"/>
  <c r="I316" i="1"/>
  <c r="G317" i="1"/>
  <c r="H317" i="1"/>
  <c r="I317" i="1"/>
  <c r="G318" i="1"/>
  <c r="H318" i="1"/>
  <c r="I318" i="1"/>
  <c r="G319" i="1"/>
  <c r="H319" i="1"/>
  <c r="I319" i="1"/>
  <c r="G320" i="1"/>
  <c r="H320" i="1"/>
  <c r="I320" i="1"/>
  <c r="G321" i="1"/>
  <c r="H321" i="1"/>
  <c r="I321" i="1"/>
  <c r="G322" i="1"/>
  <c r="H322" i="1"/>
  <c r="I322" i="1"/>
  <c r="G323" i="1"/>
  <c r="H323" i="1"/>
  <c r="I323" i="1"/>
  <c r="G324" i="1"/>
  <c r="H324" i="1"/>
  <c r="I324" i="1"/>
  <c r="G325" i="1"/>
  <c r="H325" i="1"/>
  <c r="I325" i="1"/>
  <c r="G326" i="1"/>
  <c r="H326" i="1"/>
  <c r="I326" i="1"/>
  <c r="G327" i="1"/>
  <c r="H327" i="1"/>
  <c r="I327" i="1"/>
  <c r="G328" i="1"/>
  <c r="H328" i="1"/>
  <c r="I328" i="1"/>
  <c r="G329" i="1"/>
  <c r="H329" i="1"/>
  <c r="I329" i="1"/>
  <c r="G330" i="1"/>
  <c r="H330" i="1"/>
  <c r="I330" i="1"/>
  <c r="G331" i="1"/>
  <c r="H331" i="1"/>
  <c r="I331" i="1"/>
  <c r="G332" i="1"/>
  <c r="H332" i="1"/>
  <c r="I332" i="1"/>
  <c r="G333" i="1"/>
  <c r="H333" i="1"/>
  <c r="I333" i="1"/>
  <c r="G334" i="1"/>
  <c r="H334" i="1"/>
  <c r="I334" i="1"/>
  <c r="G335" i="1"/>
  <c r="H335" i="1"/>
  <c r="I335" i="1"/>
  <c r="G336" i="1"/>
  <c r="H336" i="1"/>
  <c r="I336" i="1"/>
  <c r="G337" i="1"/>
  <c r="H337" i="1"/>
  <c r="I337" i="1"/>
  <c r="G338" i="1"/>
  <c r="H338" i="1"/>
  <c r="I338" i="1"/>
  <c r="G339" i="1"/>
  <c r="H339" i="1"/>
  <c r="I339" i="1"/>
  <c r="G340" i="1"/>
  <c r="H340" i="1"/>
  <c r="I340" i="1"/>
  <c r="G341" i="1"/>
  <c r="H341" i="1"/>
  <c r="I341" i="1"/>
  <c r="G342" i="1"/>
  <c r="H342" i="1"/>
  <c r="I342" i="1"/>
  <c r="G343" i="1"/>
  <c r="H343" i="1"/>
  <c r="I343" i="1"/>
  <c r="G344" i="1"/>
  <c r="H344" i="1"/>
  <c r="I344" i="1"/>
  <c r="G345" i="1"/>
  <c r="H345" i="1"/>
  <c r="I345" i="1"/>
  <c r="G2" i="1"/>
  <c r="H2" i="1"/>
  <c r="I2" i="1"/>
  <c r="J58" i="1" l="1"/>
  <c r="J54" i="1"/>
  <c r="J50" i="1"/>
  <c r="J46" i="1"/>
  <c r="J42" i="1"/>
  <c r="J38" i="1"/>
  <c r="J34" i="1"/>
  <c r="J30" i="1"/>
  <c r="J26" i="1"/>
  <c r="J22" i="1"/>
  <c r="J18" i="1"/>
  <c r="J14" i="1"/>
  <c r="J10" i="1"/>
  <c r="J6" i="1"/>
  <c r="J345" i="1"/>
  <c r="J341" i="1"/>
  <c r="J337" i="1"/>
  <c r="J329" i="1"/>
  <c r="J301" i="1"/>
  <c r="J281" i="1"/>
  <c r="J277" i="1"/>
  <c r="J269" i="1"/>
  <c r="J265" i="1"/>
  <c r="J164" i="1"/>
  <c r="J161" i="1"/>
  <c r="J133" i="1"/>
  <c r="J129" i="1"/>
  <c r="J118" i="1"/>
  <c r="J111" i="1"/>
  <c r="J95" i="1"/>
  <c r="J91" i="1"/>
  <c r="J87" i="1"/>
  <c r="J71" i="1"/>
  <c r="J63" i="1"/>
  <c r="J322" i="1"/>
  <c r="J333" i="1"/>
  <c r="J325" i="1"/>
  <c r="J321" i="1"/>
  <c r="J317" i="1"/>
  <c r="J313" i="1"/>
  <c r="J309" i="1"/>
  <c r="J305" i="1"/>
  <c r="J297" i="1"/>
  <c r="J293" i="1"/>
  <c r="J287" i="1"/>
  <c r="J283" i="1"/>
  <c r="J273" i="1"/>
  <c r="J261" i="1"/>
  <c r="J257" i="1"/>
  <c r="J253" i="1"/>
  <c r="J200" i="1"/>
  <c r="J196" i="1"/>
  <c r="J192" i="1"/>
  <c r="J188" i="1"/>
  <c r="J184" i="1"/>
  <c r="J180" i="1"/>
  <c r="J176" i="1"/>
  <c r="J172" i="1"/>
  <c r="J168" i="1"/>
  <c r="J141" i="1"/>
  <c r="J126" i="1"/>
  <c r="J122" i="1"/>
  <c r="J107" i="1"/>
  <c r="J103" i="1"/>
  <c r="J99" i="1"/>
  <c r="J83" i="1"/>
  <c r="J79" i="1"/>
  <c r="J75" i="1"/>
  <c r="J67" i="1"/>
  <c r="J2" i="1"/>
  <c r="J342" i="1"/>
  <c r="J338" i="1"/>
  <c r="J334" i="1"/>
  <c r="J330" i="1"/>
  <c r="J326" i="1"/>
  <c r="J318" i="1"/>
  <c r="J282" i="1"/>
  <c r="J278" i="1"/>
  <c r="J274" i="1"/>
  <c r="J250" i="1"/>
  <c r="J246" i="1"/>
  <c r="J242" i="1"/>
  <c r="J238" i="1"/>
  <c r="J234" i="1"/>
  <c r="J224" i="1"/>
  <c r="J220" i="1"/>
  <c r="J216" i="1"/>
  <c r="J212" i="1"/>
  <c r="J154" i="1"/>
  <c r="J327" i="1"/>
  <c r="J289" i="1"/>
  <c r="J285" i="1"/>
  <c r="J275" i="1"/>
  <c r="J271" i="1"/>
  <c r="J267" i="1"/>
  <c r="J263" i="1"/>
  <c r="J259" i="1"/>
  <c r="J255" i="1"/>
  <c r="J251" i="1"/>
  <c r="J209" i="1"/>
  <c r="J208" i="1"/>
  <c r="J198" i="1"/>
  <c r="J194" i="1"/>
  <c r="J190" i="1"/>
  <c r="J186" i="1"/>
  <c r="J182" i="1"/>
  <c r="J178" i="1"/>
  <c r="J174" i="1"/>
  <c r="J170" i="1"/>
  <c r="J166" i="1"/>
  <c r="J162" i="1"/>
  <c r="J159" i="1"/>
  <c r="J143" i="1"/>
  <c r="J139" i="1"/>
  <c r="J131" i="1"/>
  <c r="J124" i="1"/>
  <c r="J120" i="1"/>
  <c r="J116" i="1"/>
  <c r="J113" i="1"/>
  <c r="J109" i="1"/>
  <c r="J105" i="1"/>
  <c r="J101" i="1"/>
  <c r="J97" i="1"/>
  <c r="J93" i="1"/>
  <c r="J89" i="1"/>
  <c r="J85" i="1"/>
  <c r="J81" i="1"/>
  <c r="J77" i="1"/>
  <c r="J73" i="1"/>
  <c r="J69" i="1"/>
  <c r="J65" i="1"/>
  <c r="J314" i="1"/>
  <c r="J310" i="1"/>
  <c r="J306" i="1"/>
  <c r="J302" i="1"/>
  <c r="J298" i="1"/>
  <c r="J294" i="1"/>
  <c r="J291" i="1"/>
  <c r="J288" i="1"/>
  <c r="J284" i="1"/>
  <c r="J230" i="1"/>
  <c r="J205" i="1"/>
  <c r="J201" i="1"/>
  <c r="J150" i="1"/>
  <c r="J146" i="1"/>
  <c r="J134" i="1"/>
  <c r="J60" i="1"/>
  <c r="J56" i="1"/>
  <c r="J52" i="1"/>
  <c r="J48" i="1"/>
  <c r="J44" i="1"/>
  <c r="J40" i="1"/>
  <c r="J36" i="1"/>
  <c r="J32" i="1"/>
  <c r="J28" i="1"/>
  <c r="J24" i="1"/>
  <c r="J20" i="1"/>
  <c r="J16" i="1"/>
  <c r="J12" i="1"/>
  <c r="J8" i="1"/>
  <c r="J4" i="1"/>
  <c r="J343" i="1"/>
  <c r="J339" i="1"/>
  <c r="J335" i="1"/>
  <c r="J331" i="1"/>
  <c r="J323" i="1"/>
  <c r="J319" i="1"/>
  <c r="J315" i="1"/>
  <c r="J311" i="1"/>
  <c r="J307" i="1"/>
  <c r="J303" i="1"/>
  <c r="J299" i="1"/>
  <c r="J295" i="1"/>
  <c r="J279" i="1"/>
  <c r="J344" i="1"/>
  <c r="J340" i="1"/>
  <c r="J336" i="1"/>
  <c r="J332" i="1"/>
  <c r="J328" i="1"/>
  <c r="J324" i="1"/>
  <c r="J320" i="1"/>
  <c r="J316" i="1"/>
  <c r="J312" i="1"/>
  <c r="J308" i="1"/>
  <c r="J304" i="1"/>
  <c r="J300" i="1"/>
  <c r="J296" i="1"/>
  <c r="J292" i="1"/>
  <c r="J290" i="1"/>
  <c r="J286" i="1"/>
  <c r="J280" i="1"/>
  <c r="J276" i="1"/>
  <c r="J272" i="1"/>
  <c r="J248" i="1"/>
  <c r="J244" i="1"/>
  <c r="J240" i="1"/>
  <c r="J236" i="1"/>
  <c r="J232" i="1"/>
  <c r="J226" i="1"/>
  <c r="J222" i="1"/>
  <c r="J218" i="1"/>
  <c r="J214" i="1"/>
  <c r="J210" i="1"/>
  <c r="J203" i="1"/>
  <c r="J156" i="1"/>
  <c r="J152" i="1"/>
  <c r="J148" i="1"/>
  <c r="J144" i="1"/>
  <c r="J136" i="1"/>
  <c r="J270" i="1"/>
  <c r="J266" i="1"/>
  <c r="J262" i="1"/>
  <c r="J258" i="1"/>
  <c r="J254" i="1"/>
  <c r="J249" i="1"/>
  <c r="J245" i="1"/>
  <c r="J241" i="1"/>
  <c r="J237" i="1"/>
  <c r="J229" i="1"/>
  <c r="J227" i="1"/>
  <c r="J223" i="1"/>
  <c r="J219" i="1"/>
  <c r="J215" i="1"/>
  <c r="J211" i="1"/>
  <c r="J207" i="1"/>
  <c r="J204" i="1"/>
  <c r="J197" i="1"/>
  <c r="J193" i="1"/>
  <c r="J189" i="1"/>
  <c r="J185" i="1"/>
  <c r="J181" i="1"/>
  <c r="J177" i="1"/>
  <c r="J173" i="1"/>
  <c r="J169" i="1"/>
  <c r="J165" i="1"/>
  <c r="J158" i="1"/>
  <c r="J157" i="1"/>
  <c r="J153" i="1"/>
  <c r="J149" i="1"/>
  <c r="J145" i="1"/>
  <c r="J142" i="1"/>
  <c r="J138" i="1"/>
  <c r="J135" i="1"/>
  <c r="J132" i="1"/>
  <c r="J128" i="1"/>
  <c r="J125" i="1"/>
  <c r="J121" i="1"/>
  <c r="J117" i="1"/>
  <c r="J114" i="1"/>
  <c r="J110" i="1"/>
  <c r="J106" i="1"/>
  <c r="J102" i="1"/>
  <c r="J98" i="1"/>
  <c r="J94" i="1"/>
  <c r="J90" i="1"/>
  <c r="J86" i="1"/>
  <c r="J82" i="1"/>
  <c r="J78" i="1"/>
  <c r="J74" i="1"/>
  <c r="J70" i="1"/>
  <c r="J66" i="1"/>
  <c r="J62" i="1"/>
  <c r="J61" i="1"/>
  <c r="J57" i="1"/>
  <c r="J53" i="1"/>
  <c r="J49" i="1"/>
  <c r="J45" i="1"/>
  <c r="J41" i="1"/>
  <c r="J37" i="1"/>
  <c r="J33" i="1"/>
  <c r="J29" i="1"/>
  <c r="J25" i="1"/>
  <c r="J21" i="1"/>
  <c r="J17" i="1"/>
  <c r="J13" i="1"/>
  <c r="J9" i="1"/>
  <c r="J5" i="1"/>
  <c r="J268" i="1"/>
  <c r="J264" i="1"/>
  <c r="J260" i="1"/>
  <c r="J256" i="1"/>
  <c r="J252" i="1"/>
  <c r="J247" i="1"/>
  <c r="J243" i="1"/>
  <c r="J239" i="1"/>
  <c r="J235" i="1"/>
  <c r="J233" i="1"/>
  <c r="J231" i="1"/>
  <c r="J228" i="1"/>
  <c r="J225" i="1"/>
  <c r="J221" i="1"/>
  <c r="J217" i="1"/>
  <c r="J213" i="1"/>
  <c r="J206" i="1"/>
  <c r="J202" i="1"/>
  <c r="J199" i="1"/>
  <c r="J195" i="1"/>
  <c r="J191" i="1"/>
  <c r="J187" i="1"/>
  <c r="J183" i="1"/>
  <c r="J179" i="1"/>
  <c r="J175" i="1"/>
  <c r="J171" i="1"/>
  <c r="J167" i="1"/>
  <c r="J163" i="1"/>
  <c r="J160" i="1"/>
  <c r="J155" i="1"/>
  <c r="J151" i="1"/>
  <c r="J147" i="1"/>
  <c r="J140" i="1"/>
  <c r="J137" i="1"/>
  <c r="J130" i="1"/>
  <c r="J127" i="1"/>
  <c r="J123" i="1"/>
  <c r="J119" i="1"/>
  <c r="J115" i="1"/>
  <c r="J112" i="1"/>
  <c r="J108" i="1"/>
  <c r="J104" i="1"/>
  <c r="J100" i="1"/>
  <c r="J96" i="1"/>
  <c r="J92" i="1"/>
  <c r="J88" i="1"/>
  <c r="J84" i="1"/>
  <c r="J80" i="1"/>
  <c r="J76" i="1"/>
  <c r="J72" i="1"/>
  <c r="J68" i="1"/>
  <c r="J64" i="1"/>
  <c r="J59" i="1"/>
  <c r="J55" i="1"/>
  <c r="J51" i="1"/>
  <c r="J47" i="1"/>
  <c r="J43" i="1"/>
  <c r="J39" i="1"/>
  <c r="J35" i="1"/>
  <c r="J31" i="1"/>
  <c r="J27" i="1"/>
  <c r="J23" i="1"/>
  <c r="J19" i="1"/>
  <c r="J15" i="1"/>
  <c r="J11" i="1"/>
  <c r="J7" i="1"/>
  <c r="J3" i="1"/>
</calcChain>
</file>

<file path=xl/sharedStrings.xml><?xml version="1.0" encoding="utf-8"?>
<sst xmlns="http://schemas.openxmlformats.org/spreadsheetml/2006/main" count="797" uniqueCount="135">
  <si>
    <t>Worldwide Governance Indicators website (https://info.worldbank.org/governance/wgi/)</t>
  </si>
  <si>
    <t>Source</t>
  </si>
  <si>
    <t>Economic Policy &amp; Debt: National accounts: US$ at current prices: Aggregate indicators</t>
  </si>
  <si>
    <t>TUN</t>
  </si>
  <si>
    <t>UZB</t>
  </si>
  <si>
    <t>Cuba</t>
  </si>
  <si>
    <t>Notes from original source</t>
  </si>
  <si>
    <t>Costa Rica</t>
  </si>
  <si>
    <t>BLR</t>
  </si>
  <si>
    <t>Indicator Name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</si>
  <si>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</si>
  <si>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MKD</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</si>
  <si>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</si>
  <si>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Gap-filled total</t>
  </si>
  <si>
    <t>Egypt, Arab Rep.</t>
  </si>
  <si>
    <t>Guatemala</t>
  </si>
  <si>
    <t>South Africa</t>
  </si>
  <si>
    <t>Colombia</t>
  </si>
  <si>
    <t>Brazil</t>
  </si>
  <si>
    <t>Mongolia</t>
  </si>
  <si>
    <t>CRI</t>
  </si>
  <si>
    <t>GDP (current US$)</t>
  </si>
  <si>
    <t>Patent applications are worldwide patent applications filed through the Patent Cooperation Treaty procedure or with a national patent office.</t>
  </si>
  <si>
    <t>NY.GDS.TOTL.CD</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</si>
  <si>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</si>
  <si>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Expenditure on research and development (R&amp;D) is a key indicator of government and private sector efforts to obtain competitive advantage in science and technology.</t>
  </si>
  <si>
    <t>CHN</t>
  </si>
  <si>
    <t>MEX</t>
  </si>
  <si>
    <t>Infrastructure: Technology</t>
  </si>
  <si>
    <t>Thailand</t>
  </si>
  <si>
    <t>Code</t>
  </si>
  <si>
    <t>KAZ</t>
  </si>
  <si>
    <t>GTM</t>
  </si>
  <si>
    <t>Non-resident patent applications are from applicants outside the relevant State or region.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</si>
  <si>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https://datacatalog.worldbank.org/public-licenses#cc-by</t>
  </si>
  <si>
    <t>EGY</t>
  </si>
  <si>
    <t>Uzbekistan</t>
  </si>
  <si>
    <t>China</t>
  </si>
  <si>
    <t>Kyrgyz Republic</t>
  </si>
  <si>
    <t>Serbia</t>
  </si>
  <si>
    <t>IND</t>
  </si>
  <si>
    <t>Sum</t>
  </si>
  <si>
    <t>KGZ</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</si>
  <si>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</si>
  <si>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India</t>
  </si>
  <si>
    <t>Belarus</t>
  </si>
  <si>
    <t>UKR</t>
  </si>
  <si>
    <t>SL.TLF.TOTL.IN</t>
  </si>
  <si>
    <t>Research and development expenditure (% of GDP)</t>
  </si>
  <si>
    <t>ARM</t>
  </si>
  <si>
    <t>License URL</t>
  </si>
  <si>
    <t>Labor force, total</t>
  </si>
  <si>
    <t>Periodicity</t>
  </si>
  <si>
    <t>Other notes</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</si>
  <si>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</si>
  <si>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Azerbaijan</t>
  </si>
  <si>
    <t>TJK</t>
  </si>
  <si>
    <t>CC.EST</t>
  </si>
  <si>
    <t>Given the exceptional situation, including the scarcity of relevant data, the  ILO modeled estimates and projections from 2020 onwards are subject to substantial uncertainty.</t>
  </si>
  <si>
    <t>North Macedonia</t>
  </si>
  <si>
    <t>Moldova</t>
  </si>
  <si>
    <t>Bosnia and Herzegovina</t>
  </si>
  <si>
    <t>Annual</t>
  </si>
  <si>
    <t>RQ.EST</t>
  </si>
  <si>
    <t>License Type</t>
  </si>
  <si>
    <t>Gross domestic savings (current US$)</t>
  </si>
  <si>
    <t>Long definition</t>
  </si>
  <si>
    <t>NY.GDP.MKTP.CD</t>
  </si>
  <si>
    <t>Kazakhstan</t>
  </si>
  <si>
    <t>Gross domestic savings are calculated as GDP less final consumption expenditure (total consumption). Data are in current U.S. dollars.</t>
  </si>
  <si>
    <t>Tajikistan</t>
  </si>
  <si>
    <t>IP.PAT.NRES</t>
  </si>
  <si>
    <t>THA</t>
  </si>
  <si>
    <t>Social Protection &amp; Labor: Labor force structure</t>
  </si>
  <si>
    <t>Argentina</t>
  </si>
  <si>
    <t>BRA</t>
  </si>
  <si>
    <t>Tunisia</t>
  </si>
  <si>
    <t>Armenia</t>
  </si>
  <si>
    <t>Development relevance</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</si>
  <si>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</si>
  <si>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CUB</t>
  </si>
  <si>
    <t>Topic</t>
  </si>
  <si>
    <t>Weighted average</t>
  </si>
  <si>
    <t>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</si>
  <si>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The Worldwide Governance Indicators (WGI) are a research dataset summarizing the views on the quality of governance provided by a large number of enterprise, citizen and expert survey respondents in industrial and developing countries. These data are gathered from a number of survey institutes, think tanks, non-governmental organizations, international organizations, and private sector firms. The WGI do not reflect the official views of the Natural Resource Governance Institute, the Brookings Institution, the World Bank, its Executive Directors, or the countries they represent. The WGI are not used by the World Bank Group to allocate resources.</t>
  </si>
  <si>
    <t>COL</t>
  </si>
  <si>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</si>
  <si>
    <t>UNESCO Institute for Statistics (UIS). UIS.Stat Bulk Data Download Service. Accessed September 30, 2024. https://apiportal.uis.unesco.org/bdds.</t>
  </si>
  <si>
    <t>Aggregation method</t>
  </si>
  <si>
    <t>MNG</t>
  </si>
  <si>
    <t>Related source links</t>
  </si>
  <si>
    <t>SRB</t>
  </si>
  <si>
    <t>GB.XPD.RSDV.GD.ZS</t>
  </si>
  <si>
    <t>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</si>
  <si>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CC BY-4.0</t>
  </si>
  <si>
    <t>Public Sector: Policy &amp; institutions</t>
  </si>
  <si>
    <t>MDA</t>
  </si>
  <si>
    <t>BIH</t>
  </si>
  <si>
    <t>ZAF</t>
  </si>
  <si>
    <t>Patent applications, nonresidents</t>
  </si>
  <si>
    <t>World Bank national accounts data, and OECD National Accounts data files.</t>
  </si>
  <si>
    <t>El Salvador</t>
  </si>
  <si>
    <t>AZE</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</si>
  <si>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
Unless otherwise stated, statistics on the number of resident and non-resident patent applications include those filed via the PCT system as PCT national/regional phase entries.</t>
  </si>
  <si>
    <t>World Intellectual Property Organization (WIPO), WIPO Patent Report: Statistics on Worldwide Patent Activity. The International Bureau of WIPO assumes no responsibility with respect to the transformation of these data.</t>
  </si>
  <si>
    <t>Mexico</t>
  </si>
  <si>
    <t>ARG</t>
  </si>
  <si>
    <t>World Bank, World Development Indicators database. Estimates are based on data obtained from International Labour Organization and United Nations Population Division.</t>
  </si>
  <si>
    <t>Limitations and exceptions</t>
  </si>
  <si>
    <t>Ukraine</t>
  </si>
  <si>
    <t>Statistical concept and methodology</t>
  </si>
  <si>
    <t>Short definition</t>
  </si>
  <si>
    <t>The Patent Cooperation Treaty (www.wipo.int/pct) provides a two phase system for filing patent. International applications under the treaty provide for a national patent grant only - there is no international patent. The national filing represents the applicant's seeking of patent protection for a given territory, whereas international filings, while representing a legal right, do not accurately reflect where patent protection is sought. Resident filings are those from residents of the country concerned. Nonresident filings are from applicants abroad. For regional offices applications from residents of any member state of the regional patent convention are considered nonresident filings. Some offices (notably the U.S. Patent and Trademark Office) use the residence of the inventor rather than the applicant to classify filings.
Patent data are a great resource for the study of technical change in a country or region. Patent data provide a uniquely detailed source of information on inventive activity and the multiple dimensions of the inventive process (e.g. geographical location, technical and institutional origin, individuals and networks). Furthermore, patent data form a consistent basis for comparisons across time and across countries.
Patent data can be used in the analysis of a wide array of topics related to technical change and patenting activity including industry-science linkages, patenting strategies by companies, internationalization of research, and indicators on the value of patents. Patent-based statistics reflect the inventive performance of countries, regions and firms, as well as other aspects of the dynamics of the innovation process such as co-operation in innovation or technology paths.</t>
  </si>
  <si>
    <t>SLV</t>
  </si>
  <si>
    <t>Name</t>
  </si>
  <si>
    <t>Id</t>
  </si>
  <si>
    <t>time</t>
  </si>
  <si>
    <t>NY.GDP.DEFL.KD.ZG</t>
  </si>
  <si>
    <t>Inflation, GDP deflator (annual %)</t>
  </si>
  <si>
    <t>Inflation as measured by the annual growth rate of the GDP implicit deflator shows the rate of price change in the economy as a whole. The GDP implicit deflator is the ratio of GDP in current local currency to GDP in constant local currency.</t>
  </si>
  <si>
    <t>Financial Sector: Exchange rates &amp; prices</t>
  </si>
  <si>
    <t>Median</t>
  </si>
  <si>
    <t>gdp</t>
  </si>
  <si>
    <t>sav</t>
  </si>
  <si>
    <t>lab</t>
  </si>
  <si>
    <t>lngdp</t>
  </si>
  <si>
    <t>lnsav</t>
  </si>
  <si>
    <t>lnlab</t>
  </si>
  <si>
    <t>rnd</t>
  </si>
  <si>
    <t>pt</t>
  </si>
  <si>
    <t>lnpt</t>
  </si>
  <si>
    <t>hdi</t>
  </si>
  <si>
    <t>rglt</t>
  </si>
  <si>
    <t>crpt</t>
  </si>
  <si>
    <t>lnkpl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</si>
</sst>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45"/>
  <sheetViews>
    <sheetView tabSelected="1" topLeftCell="A330" workbookViewId="0">
      <selection activeCell="I339" sqref="I339"/>
    </sheetView>
  </sheetViews>
  <sheetFormatPr defaultRowHeight="15" x14ac:dyDescent="0.25"/>
  <cols>
    <col min="1" max="1" width="22.42578125" bestFit="1" customWidth="1"/>
    <col min="2" max="2" width="5.42578125" bestFit="1" customWidth="1"/>
    <col min="3" max="3" width="7.42578125" bestFit="1" customWidth="1"/>
    <col min="4" max="4" width="12" bestFit="1" customWidth="1"/>
    <col min="5" max="5" width="12.7109375" bestFit="1" customWidth="1"/>
    <col min="6" max="6" width="10" bestFit="1" customWidth="1"/>
    <col min="7" max="7" width="12" bestFit="1" customWidth="1"/>
    <col min="8" max="8" width="12.28515625" bestFit="1" customWidth="1"/>
    <col min="9" max="9" width="12" bestFit="1" customWidth="1"/>
    <col min="10" max="10" width="12" customWidth="1"/>
    <col min="11" max="11" width="12" bestFit="1" customWidth="1"/>
    <col min="12" max="12" width="7" bestFit="1" customWidth="1"/>
    <col min="13" max="13" width="12" bestFit="1" customWidth="1"/>
    <col min="14" max="14" width="6.85546875" bestFit="1" customWidth="1"/>
    <col min="15" max="16" width="12.7109375" bestFit="1" customWidth="1"/>
  </cols>
  <sheetData>
    <row r="1" spans="1:16" x14ac:dyDescent="0.25">
      <c r="A1" t="s">
        <v>114</v>
      </c>
      <c r="B1" s="1" t="s">
        <v>115</v>
      </c>
      <c r="C1" t="s">
        <v>116</v>
      </c>
      <c r="D1" t="s">
        <v>122</v>
      </c>
      <c r="E1" t="s">
        <v>123</v>
      </c>
      <c r="F1" t="s">
        <v>124</v>
      </c>
      <c r="G1" t="s">
        <v>125</v>
      </c>
      <c r="H1" t="s">
        <v>126</v>
      </c>
      <c r="I1" t="s">
        <v>127</v>
      </c>
      <c r="J1" t="s">
        <v>134</v>
      </c>
      <c r="K1" t="s">
        <v>128</v>
      </c>
      <c r="L1" t="s">
        <v>129</v>
      </c>
      <c r="M1" t="s">
        <v>130</v>
      </c>
      <c r="N1" t="s">
        <v>131</v>
      </c>
      <c r="O1" t="s">
        <v>132</v>
      </c>
      <c r="P1" t="s">
        <v>133</v>
      </c>
    </row>
    <row r="2" spans="1:16" x14ac:dyDescent="0.25">
      <c r="A2" t="s">
        <v>74</v>
      </c>
      <c r="B2" s="1" t="s">
        <v>106</v>
      </c>
      <c r="C2">
        <v>2005</v>
      </c>
      <c r="D2">
        <v>198737095012.28165</v>
      </c>
      <c r="E2">
        <v>49343929755.731438</v>
      </c>
      <c r="F2">
        <v>17545905</v>
      </c>
      <c r="G2">
        <f t="shared" ref="G2:H2" si="0">LN(D2)</f>
        <v>26.015248657616944</v>
      </c>
      <c r="H2">
        <f t="shared" si="0"/>
        <v>24.622080591323751</v>
      </c>
      <c r="I2">
        <f>LN(F2)</f>
        <v>16.680331147316359</v>
      </c>
      <c r="J2">
        <f>H2-I2</f>
        <v>7.9417494440073924</v>
      </c>
      <c r="K2">
        <v>0.42074000835418701</v>
      </c>
      <c r="L2">
        <v>4215</v>
      </c>
      <c r="M2">
        <f>LN(L2)</f>
        <v>8.3464048704359559</v>
      </c>
      <c r="N2" s="2">
        <v>0.80200000000000005</v>
      </c>
      <c r="O2">
        <v>-0.525074362754822</v>
      </c>
      <c r="P2">
        <v>-0.377738356590271</v>
      </c>
    </row>
    <row r="3" spans="1:16" x14ac:dyDescent="0.25">
      <c r="A3" t="s">
        <v>74</v>
      </c>
      <c r="B3" s="1" t="s">
        <v>106</v>
      </c>
      <c r="C3">
        <v>2006</v>
      </c>
      <c r="D3">
        <v>232557260817.30771</v>
      </c>
      <c r="E3">
        <v>56512336635.914742</v>
      </c>
      <c r="F3">
        <v>17877291</v>
      </c>
      <c r="G3">
        <f t="shared" ref="G3:G61" si="1">LN(D3)</f>
        <v>26.172402314736317</v>
      </c>
      <c r="H3">
        <f t="shared" ref="H3:H61" si="2">LN(E3)</f>
        <v>24.757724798802766</v>
      </c>
      <c r="I3">
        <f t="shared" ref="I3:I61" si="3">LN(F3)</f>
        <v>16.69904180616372</v>
      </c>
      <c r="J3">
        <f t="shared" ref="J3:J61" si="4">H3-I3</f>
        <v>8.0586829926390458</v>
      </c>
      <c r="K3">
        <v>0.45216000080108598</v>
      </c>
      <c r="L3">
        <v>4597</v>
      </c>
      <c r="M3">
        <f t="shared" ref="M3:M61" si="5">LN(L3)</f>
        <v>8.433159195806228</v>
      </c>
      <c r="N3" s="2">
        <v>0.81399999999999995</v>
      </c>
      <c r="O3">
        <v>-0.61456698179244995</v>
      </c>
      <c r="P3">
        <v>-0.33123853802681003</v>
      </c>
    </row>
    <row r="4" spans="1:16" x14ac:dyDescent="0.25">
      <c r="A4" t="s">
        <v>74</v>
      </c>
      <c r="B4" s="1" t="s">
        <v>106</v>
      </c>
      <c r="C4">
        <v>2007</v>
      </c>
      <c r="D4">
        <v>287530508430.56799</v>
      </c>
      <c r="E4">
        <v>70385867483.010635</v>
      </c>
      <c r="F4">
        <v>17924078</v>
      </c>
      <c r="G4">
        <f t="shared" si="1"/>
        <v>26.384594807834119</v>
      </c>
      <c r="H4">
        <f t="shared" si="2"/>
        <v>24.977258333978273</v>
      </c>
      <c r="I4">
        <f t="shared" si="3"/>
        <v>16.701655506585912</v>
      </c>
      <c r="J4">
        <f t="shared" si="4"/>
        <v>8.2756028273923619</v>
      </c>
      <c r="K4">
        <v>0.46007001399993902</v>
      </c>
      <c r="L4">
        <v>4806</v>
      </c>
      <c r="M4">
        <f t="shared" si="5"/>
        <v>8.4776204162964142</v>
      </c>
      <c r="N4" s="2">
        <v>0.81699999999999995</v>
      </c>
      <c r="O4">
        <v>-0.63569355010986295</v>
      </c>
      <c r="P4">
        <v>-0.37212207913398698</v>
      </c>
    </row>
    <row r="5" spans="1:16" x14ac:dyDescent="0.25">
      <c r="A5" t="s">
        <v>74</v>
      </c>
      <c r="B5" s="1" t="s">
        <v>106</v>
      </c>
      <c r="C5">
        <v>2008</v>
      </c>
      <c r="D5">
        <v>361558037110.41925</v>
      </c>
      <c r="E5">
        <v>84213748246.689941</v>
      </c>
      <c r="F5">
        <v>17966575</v>
      </c>
      <c r="G5">
        <f t="shared" si="1"/>
        <v>26.613688410916257</v>
      </c>
      <c r="H5">
        <f t="shared" si="2"/>
        <v>25.156624025705376</v>
      </c>
      <c r="I5">
        <f t="shared" si="3"/>
        <v>16.704023645157285</v>
      </c>
      <c r="J5">
        <f t="shared" si="4"/>
        <v>8.4526003805480912</v>
      </c>
      <c r="K5">
        <v>0.47055000066757202</v>
      </c>
      <c r="L5">
        <v>4781</v>
      </c>
      <c r="M5">
        <f t="shared" si="5"/>
        <v>8.4724050086261027</v>
      </c>
      <c r="N5" s="2">
        <v>0.82499999999999996</v>
      </c>
      <c r="O5">
        <v>-0.70262944698333696</v>
      </c>
      <c r="P5">
        <v>-0.43487501144409202</v>
      </c>
    </row>
    <row r="6" spans="1:16" x14ac:dyDescent="0.25">
      <c r="A6" t="s">
        <v>74</v>
      </c>
      <c r="B6" s="1" t="s">
        <v>106</v>
      </c>
      <c r="C6">
        <v>2009</v>
      </c>
      <c r="D6">
        <v>332976484577.6189</v>
      </c>
      <c r="E6">
        <v>70317826057.95401</v>
      </c>
      <c r="F6">
        <v>18324357</v>
      </c>
      <c r="G6">
        <f t="shared" si="1"/>
        <v>26.531337707549337</v>
      </c>
      <c r="H6">
        <f t="shared" si="2"/>
        <v>24.976291174856176</v>
      </c>
      <c r="I6">
        <f t="shared" si="3"/>
        <v>16.723741716444696</v>
      </c>
      <c r="J6">
        <f t="shared" si="4"/>
        <v>8.2525494584114796</v>
      </c>
      <c r="K6">
        <v>0.58398002386093095</v>
      </c>
      <c r="L6">
        <v>4336</v>
      </c>
      <c r="M6">
        <f t="shared" si="5"/>
        <v>8.3747075431194826</v>
      </c>
      <c r="N6" s="2">
        <v>0.82699999999999996</v>
      </c>
      <c r="O6">
        <v>-0.83083677291870095</v>
      </c>
      <c r="P6">
        <v>-0.44547510147094699</v>
      </c>
    </row>
    <row r="7" spans="1:16" x14ac:dyDescent="0.25">
      <c r="A7" t="s">
        <v>74</v>
      </c>
      <c r="B7" s="1" t="s">
        <v>106</v>
      </c>
      <c r="C7">
        <v>2010</v>
      </c>
      <c r="D7">
        <v>423627422092.48969</v>
      </c>
      <c r="E7">
        <v>87276430428.797226</v>
      </c>
      <c r="F7">
        <v>18255867</v>
      </c>
      <c r="G7">
        <f t="shared" si="1"/>
        <v>26.772120184396353</v>
      </c>
      <c r="H7">
        <f t="shared" si="2"/>
        <v>25.192346279706346</v>
      </c>
      <c r="I7">
        <f t="shared" si="3"/>
        <v>16.719997065781381</v>
      </c>
      <c r="J7">
        <f t="shared" si="4"/>
        <v>8.4723492139249643</v>
      </c>
      <c r="K7">
        <v>0.56103998422622703</v>
      </c>
      <c r="L7">
        <v>4165</v>
      </c>
      <c r="M7">
        <f t="shared" si="5"/>
        <v>8.3344715546009436</v>
      </c>
      <c r="N7" s="2">
        <v>0.83399999999999996</v>
      </c>
      <c r="O7">
        <v>-0.74294090270996105</v>
      </c>
      <c r="P7">
        <v>-0.355230033397675</v>
      </c>
    </row>
    <row r="8" spans="1:16" x14ac:dyDescent="0.25">
      <c r="A8" t="s">
        <v>74</v>
      </c>
      <c r="B8" s="1" t="s">
        <v>106</v>
      </c>
      <c r="C8">
        <v>2011</v>
      </c>
      <c r="D8">
        <v>530158122010.44244</v>
      </c>
      <c r="E8">
        <v>106512595532.02567</v>
      </c>
      <c r="F8">
        <v>18663922</v>
      </c>
      <c r="G8">
        <f t="shared" si="1"/>
        <v>26.996441142412962</v>
      </c>
      <c r="H8">
        <f t="shared" si="2"/>
        <v>25.391529083009139</v>
      </c>
      <c r="I8">
        <f t="shared" si="3"/>
        <v>16.742102913506219</v>
      </c>
      <c r="J8">
        <f t="shared" si="4"/>
        <v>8.6494261695029202</v>
      </c>
      <c r="K8">
        <v>0.56597000360488903</v>
      </c>
      <c r="L8">
        <v>4133</v>
      </c>
      <c r="M8">
        <f t="shared" si="5"/>
        <v>8.3267588145117326</v>
      </c>
      <c r="N8" s="2">
        <v>0.84199999999999997</v>
      </c>
      <c r="O8">
        <v>-0.70196437835693404</v>
      </c>
      <c r="P8">
        <v>-0.36409851908683799</v>
      </c>
    </row>
    <row r="9" spans="1:16" x14ac:dyDescent="0.25">
      <c r="A9" t="s">
        <v>74</v>
      </c>
      <c r="B9" s="1" t="s">
        <v>106</v>
      </c>
      <c r="C9">
        <v>2012</v>
      </c>
      <c r="D9">
        <v>545982375701.12799</v>
      </c>
      <c r="E9">
        <v>100740098540.82578</v>
      </c>
      <c r="F9">
        <v>18835226</v>
      </c>
      <c r="G9">
        <f t="shared" si="1"/>
        <v>27.025852533234676</v>
      </c>
      <c r="H9">
        <f t="shared" si="2"/>
        <v>25.335809755433239</v>
      </c>
      <c r="I9">
        <f t="shared" si="3"/>
        <v>16.751239397974437</v>
      </c>
      <c r="J9">
        <f t="shared" si="4"/>
        <v>8.5845703574588015</v>
      </c>
      <c r="K9">
        <v>0.634909987449646</v>
      </c>
      <c r="L9">
        <v>4078</v>
      </c>
      <c r="M9">
        <f t="shared" si="5"/>
        <v>8.3133619511344001</v>
      </c>
      <c r="N9" s="2">
        <v>0.84399999999999997</v>
      </c>
      <c r="O9">
        <v>-0.89768677949905396</v>
      </c>
      <c r="P9">
        <v>-0.44590920209884599</v>
      </c>
    </row>
    <row r="10" spans="1:16" x14ac:dyDescent="0.25">
      <c r="A10" t="s">
        <v>74</v>
      </c>
      <c r="B10" s="1" t="s">
        <v>106</v>
      </c>
      <c r="C10">
        <v>2013</v>
      </c>
      <c r="D10">
        <v>552025140252.24634</v>
      </c>
      <c r="E10">
        <v>94982531332.948639</v>
      </c>
      <c r="F10">
        <v>18964106</v>
      </c>
      <c r="G10">
        <f t="shared" si="1"/>
        <v>27.036859426121641</v>
      </c>
      <c r="H10">
        <f t="shared" si="2"/>
        <v>25.276958830933019</v>
      </c>
      <c r="I10">
        <f t="shared" si="3"/>
        <v>16.758058592526595</v>
      </c>
      <c r="J10">
        <f t="shared" si="4"/>
        <v>8.5189002384064239</v>
      </c>
      <c r="K10">
        <v>0.61848998069763195</v>
      </c>
      <c r="L10">
        <v>4129</v>
      </c>
      <c r="M10">
        <f t="shared" si="5"/>
        <v>8.3257905258860898</v>
      </c>
      <c r="N10" s="2">
        <v>0.84599999999999997</v>
      </c>
      <c r="O10">
        <v>-0.92813479900360096</v>
      </c>
      <c r="P10">
        <v>-0.43401578068733199</v>
      </c>
    </row>
    <row r="11" spans="1:16" x14ac:dyDescent="0.25">
      <c r="A11" t="s">
        <v>74</v>
      </c>
      <c r="B11" s="1" t="s">
        <v>106</v>
      </c>
      <c r="C11">
        <v>2014</v>
      </c>
      <c r="D11">
        <v>526319673731.63831</v>
      </c>
      <c r="E11">
        <v>92985131169.398392</v>
      </c>
      <c r="F11">
        <v>19049721</v>
      </c>
      <c r="G11">
        <f t="shared" si="1"/>
        <v>26.989174609819035</v>
      </c>
      <c r="H11">
        <f t="shared" si="2"/>
        <v>25.255705437418573</v>
      </c>
      <c r="I11">
        <f t="shared" si="3"/>
        <v>16.762563013760445</v>
      </c>
      <c r="J11">
        <f t="shared" si="4"/>
        <v>8.4931424236581279</v>
      </c>
      <c r="K11">
        <v>0.59395998716354403</v>
      </c>
      <c r="L11">
        <v>4173</v>
      </c>
      <c r="M11">
        <f t="shared" si="5"/>
        <v>8.3363904805915521</v>
      </c>
      <c r="N11" s="2">
        <v>0.84699999999999998</v>
      </c>
      <c r="O11">
        <v>-1.0661495923996001</v>
      </c>
      <c r="P11">
        <v>-0.54944306612014804</v>
      </c>
    </row>
    <row r="12" spans="1:16" x14ac:dyDescent="0.25">
      <c r="A12" t="s">
        <v>74</v>
      </c>
      <c r="B12" s="1" t="s">
        <v>106</v>
      </c>
      <c r="C12">
        <v>2015</v>
      </c>
      <c r="D12">
        <v>594749285413.2124</v>
      </c>
      <c r="E12">
        <v>95134804470.724548</v>
      </c>
      <c r="F12">
        <v>19229476</v>
      </c>
      <c r="G12">
        <f t="shared" si="1"/>
        <v>27.111405784637732</v>
      </c>
      <c r="H12">
        <f t="shared" si="2"/>
        <v>25.278560717154427</v>
      </c>
      <c r="I12">
        <f t="shared" si="3"/>
        <v>16.771954868103737</v>
      </c>
      <c r="J12">
        <f t="shared" si="4"/>
        <v>8.5066058490506897</v>
      </c>
      <c r="K12">
        <v>0.62261998653411899</v>
      </c>
      <c r="L12">
        <v>3579</v>
      </c>
      <c r="M12">
        <f t="shared" si="5"/>
        <v>8.1828387107660259</v>
      </c>
      <c r="N12" s="2">
        <v>0.85</v>
      </c>
      <c r="O12">
        <v>-0.89802235364913896</v>
      </c>
      <c r="P12">
        <v>-0.580868721008301</v>
      </c>
    </row>
    <row r="13" spans="1:16" x14ac:dyDescent="0.25">
      <c r="A13" t="s">
        <v>74</v>
      </c>
      <c r="B13" s="1" t="s">
        <v>106</v>
      </c>
      <c r="C13">
        <v>2016</v>
      </c>
      <c r="D13">
        <v>557532320662.95459</v>
      </c>
      <c r="E13">
        <v>92681554528.252991</v>
      </c>
      <c r="F13">
        <v>19404277</v>
      </c>
      <c r="G13">
        <f t="shared" si="1"/>
        <v>27.046786312883569</v>
      </c>
      <c r="H13">
        <f t="shared" si="2"/>
        <v>25.252435309441275</v>
      </c>
      <c r="I13">
        <f t="shared" si="3"/>
        <v>16.781004063652485</v>
      </c>
      <c r="J13">
        <f t="shared" si="4"/>
        <v>8.4714312457887893</v>
      </c>
      <c r="K13">
        <v>0.55814999341964699</v>
      </c>
      <c r="L13">
        <v>2925</v>
      </c>
      <c r="M13">
        <f t="shared" si="5"/>
        <v>7.9810497596659573</v>
      </c>
      <c r="N13" s="2">
        <v>0.84799999999999998</v>
      </c>
      <c r="O13">
        <v>-0.34757116436958302</v>
      </c>
      <c r="P13">
        <v>-0.29896488785743702</v>
      </c>
    </row>
    <row r="14" spans="1:16" x14ac:dyDescent="0.25">
      <c r="A14" t="s">
        <v>74</v>
      </c>
      <c r="B14" s="1" t="s">
        <v>106</v>
      </c>
      <c r="C14">
        <v>2017</v>
      </c>
      <c r="D14">
        <v>643628393281.36401</v>
      </c>
      <c r="E14">
        <v>100171315818.12079</v>
      </c>
      <c r="F14">
        <v>19580710</v>
      </c>
      <c r="G14">
        <f t="shared" si="1"/>
        <v>27.190387367439218</v>
      </c>
      <c r="H14">
        <f t="shared" si="2"/>
        <v>25.330147715334071</v>
      </c>
      <c r="I14">
        <f t="shared" si="3"/>
        <v>16.790055455900525</v>
      </c>
      <c r="J14">
        <f t="shared" si="4"/>
        <v>8.5400922594335462</v>
      </c>
      <c r="K14">
        <v>0.55630999803543102</v>
      </c>
      <c r="L14">
        <v>3050</v>
      </c>
      <c r="M14">
        <f t="shared" si="5"/>
        <v>8.0228968696014569</v>
      </c>
      <c r="N14" s="2">
        <v>0.85299999999999998</v>
      </c>
      <c r="O14">
        <v>-0.19629989564418801</v>
      </c>
      <c r="P14">
        <v>-0.30879834294319197</v>
      </c>
    </row>
    <row r="15" spans="1:16" x14ac:dyDescent="0.25">
      <c r="A15" t="s">
        <v>74</v>
      </c>
      <c r="B15" s="1" t="s">
        <v>106</v>
      </c>
      <c r="C15">
        <v>2018</v>
      </c>
      <c r="D15">
        <v>524819892360.17578</v>
      </c>
      <c r="E15">
        <v>77278262574.340652</v>
      </c>
      <c r="F15">
        <v>20103008</v>
      </c>
      <c r="G15">
        <f t="shared" si="1"/>
        <v>26.986320978507653</v>
      </c>
      <c r="H15">
        <f t="shared" si="2"/>
        <v>25.070678544381856</v>
      </c>
      <c r="I15">
        <f t="shared" si="3"/>
        <v>16.816380013573895</v>
      </c>
      <c r="J15">
        <f t="shared" si="4"/>
        <v>8.2542985308079615</v>
      </c>
      <c r="K15">
        <v>0.48829999566078203</v>
      </c>
      <c r="L15">
        <v>3242</v>
      </c>
      <c r="M15">
        <f t="shared" si="5"/>
        <v>8.0839457022956207</v>
      </c>
      <c r="N15" s="2">
        <v>0.85199999999999998</v>
      </c>
      <c r="O15">
        <v>-0.195977628231049</v>
      </c>
      <c r="P15">
        <v>-9.8668172955513E-2</v>
      </c>
    </row>
    <row r="16" spans="1:16" x14ac:dyDescent="0.25">
      <c r="A16" t="s">
        <v>74</v>
      </c>
      <c r="B16" s="1" t="s">
        <v>106</v>
      </c>
      <c r="C16">
        <v>2019</v>
      </c>
      <c r="D16">
        <v>447754683615.22455</v>
      </c>
      <c r="E16">
        <v>78039934433.681961</v>
      </c>
      <c r="F16">
        <v>20607477</v>
      </c>
      <c r="G16">
        <f t="shared" si="1"/>
        <v>26.827511338168033</v>
      </c>
      <c r="H16">
        <f t="shared" si="2"/>
        <v>25.080486512538002</v>
      </c>
      <c r="I16">
        <f t="shared" si="3"/>
        <v>16.84116452907039</v>
      </c>
      <c r="J16">
        <f t="shared" si="4"/>
        <v>8.2393219834676117</v>
      </c>
      <c r="K16">
        <v>0.478130012750626</v>
      </c>
      <c r="L16">
        <v>3260</v>
      </c>
      <c r="M16">
        <f t="shared" si="5"/>
        <v>8.0894824743607536</v>
      </c>
      <c r="N16" s="2">
        <v>0.85299999999999998</v>
      </c>
      <c r="O16">
        <v>-0.45307970046997098</v>
      </c>
      <c r="P16">
        <v>-0.106940247118473</v>
      </c>
    </row>
    <row r="17" spans="1:16" x14ac:dyDescent="0.25">
      <c r="A17" t="s">
        <v>74</v>
      </c>
      <c r="B17" s="1" t="s">
        <v>106</v>
      </c>
      <c r="C17">
        <v>2020</v>
      </c>
      <c r="D17">
        <v>385740508436.96521</v>
      </c>
      <c r="E17">
        <v>67204813857.526833</v>
      </c>
      <c r="F17">
        <v>19406591</v>
      </c>
      <c r="G17">
        <f t="shared" si="1"/>
        <v>26.678430722409232</v>
      </c>
      <c r="H17">
        <f t="shared" si="2"/>
        <v>24.931010716694491</v>
      </c>
      <c r="I17">
        <f t="shared" si="3"/>
        <v>16.781123308602261</v>
      </c>
      <c r="J17">
        <f t="shared" si="4"/>
        <v>8.1498874080922299</v>
      </c>
      <c r="K17">
        <v>0.541540026664734</v>
      </c>
      <c r="L17">
        <v>2562</v>
      </c>
      <c r="M17">
        <f t="shared" si="5"/>
        <v>7.8485434824566793</v>
      </c>
      <c r="N17" s="2">
        <v>0.84099999999999997</v>
      </c>
      <c r="O17">
        <v>-0.49834427237510698</v>
      </c>
      <c r="P17">
        <v>-0.16378065943718001</v>
      </c>
    </row>
    <row r="18" spans="1:16" x14ac:dyDescent="0.25">
      <c r="A18" t="s">
        <v>77</v>
      </c>
      <c r="B18" s="1" t="s">
        <v>49</v>
      </c>
      <c r="C18">
        <v>2005</v>
      </c>
      <c r="D18">
        <v>4900469511.1019125</v>
      </c>
      <c r="E18">
        <v>532478815.03352749</v>
      </c>
      <c r="F18">
        <v>1426893</v>
      </c>
      <c r="G18">
        <f t="shared" si="1"/>
        <v>22.312596856064911</v>
      </c>
      <c r="H18">
        <f t="shared" si="2"/>
        <v>20.093053670781856</v>
      </c>
      <c r="I18">
        <f t="shared" si="3"/>
        <v>14.171009911166918</v>
      </c>
      <c r="J18">
        <f t="shared" si="4"/>
        <v>5.9220437596149385</v>
      </c>
      <c r="K18">
        <v>0.257609993219376</v>
      </c>
      <c r="L18">
        <v>2</v>
      </c>
      <c r="M18">
        <f t="shared" si="5"/>
        <v>0.69314718055994529</v>
      </c>
      <c r="N18" s="2">
        <v>0.70099999999999996</v>
      </c>
      <c r="O18">
        <v>8.9062668383121504E-2</v>
      </c>
      <c r="P18">
        <v>-0.68334984779357899</v>
      </c>
    </row>
    <row r="19" spans="1:16" x14ac:dyDescent="0.25">
      <c r="A19" t="s">
        <v>77</v>
      </c>
      <c r="B19" s="1" t="s">
        <v>49</v>
      </c>
      <c r="C19">
        <v>2006</v>
      </c>
      <c r="D19">
        <v>6384452066.5146027</v>
      </c>
      <c r="E19">
        <v>940108047.68777609</v>
      </c>
      <c r="F19">
        <v>1430445</v>
      </c>
      <c r="G19">
        <f t="shared" si="1"/>
        <v>22.577131507010805</v>
      </c>
      <c r="H19">
        <f t="shared" si="2"/>
        <v>20.661505370971426</v>
      </c>
      <c r="I19">
        <f t="shared" si="3"/>
        <v>14.173496142638083</v>
      </c>
      <c r="J19">
        <f t="shared" si="4"/>
        <v>6.4880092283333433</v>
      </c>
      <c r="K19">
        <v>0.240569993853569</v>
      </c>
      <c r="L19">
        <v>1</v>
      </c>
      <c r="M19">
        <f t="shared" si="5"/>
        <v>0</v>
      </c>
      <c r="N19" s="2">
        <v>0.71399999999999997</v>
      </c>
      <c r="O19">
        <v>0.292330682277679</v>
      </c>
      <c r="P19">
        <v>-0.66923260688781705</v>
      </c>
    </row>
    <row r="20" spans="1:16" x14ac:dyDescent="0.25">
      <c r="A20" t="s">
        <v>77</v>
      </c>
      <c r="B20" s="1" t="s">
        <v>49</v>
      </c>
      <c r="C20">
        <v>2007</v>
      </c>
      <c r="D20">
        <v>9206301269.7916355</v>
      </c>
      <c r="E20">
        <v>1403491407.5257375</v>
      </c>
      <c r="F20">
        <v>1435813</v>
      </c>
      <c r="G20">
        <f t="shared" si="1"/>
        <v>22.943154007179846</v>
      </c>
      <c r="H20">
        <f t="shared" si="2"/>
        <v>21.062228831571296</v>
      </c>
      <c r="I20">
        <f t="shared" si="3"/>
        <v>14.177241797269351</v>
      </c>
      <c r="J20">
        <f t="shared" si="4"/>
        <v>6.884987034301945</v>
      </c>
      <c r="K20">
        <v>0.211070001125336</v>
      </c>
      <c r="L20">
        <v>5</v>
      </c>
      <c r="M20">
        <f t="shared" si="5"/>
        <v>1.6094379124341003</v>
      </c>
      <c r="N20" s="2">
        <v>0.73</v>
      </c>
      <c r="O20">
        <v>0.26520717144012501</v>
      </c>
      <c r="P20">
        <v>-0.74589169025421098</v>
      </c>
    </row>
    <row r="21" spans="1:16" x14ac:dyDescent="0.25">
      <c r="A21" t="s">
        <v>77</v>
      </c>
      <c r="B21" s="1" t="s">
        <v>49</v>
      </c>
      <c r="C21">
        <v>2008</v>
      </c>
      <c r="D21">
        <v>11662040713.875309</v>
      </c>
      <c r="E21">
        <v>1785681509.3274033</v>
      </c>
      <c r="F21">
        <v>1437001</v>
      </c>
      <c r="G21">
        <f t="shared" si="1"/>
        <v>23.179605020897483</v>
      </c>
      <c r="H21">
        <f t="shared" si="2"/>
        <v>21.303065977254249</v>
      </c>
      <c r="I21">
        <f t="shared" si="3"/>
        <v>14.178068860955143</v>
      </c>
      <c r="J21">
        <f t="shared" si="4"/>
        <v>7.1249971162991059</v>
      </c>
      <c r="K21">
        <v>0.22438000142574299</v>
      </c>
      <c r="L21">
        <v>4</v>
      </c>
      <c r="M21">
        <f t="shared" si="5"/>
        <v>1.3862943611198906</v>
      </c>
      <c r="N21" s="2">
        <v>0.73299999999999998</v>
      </c>
      <c r="O21">
        <v>0.30093985795974698</v>
      </c>
      <c r="P21">
        <v>-0.71241235733032204</v>
      </c>
    </row>
    <row r="22" spans="1:16" x14ac:dyDescent="0.25">
      <c r="A22" t="s">
        <v>77</v>
      </c>
      <c r="B22" s="1" t="s">
        <v>49</v>
      </c>
      <c r="C22">
        <v>2009</v>
      </c>
      <c r="D22">
        <v>8647937081.256197</v>
      </c>
      <c r="E22">
        <v>274042610.37211609</v>
      </c>
      <c r="F22">
        <v>1455126</v>
      </c>
      <c r="G22">
        <f t="shared" si="1"/>
        <v>22.880586641731433</v>
      </c>
      <c r="H22">
        <f t="shared" si="2"/>
        <v>19.428794164568551</v>
      </c>
      <c r="I22">
        <f t="shared" si="3"/>
        <v>14.19060305277649</v>
      </c>
      <c r="J22">
        <f t="shared" si="4"/>
        <v>5.2381911117920605</v>
      </c>
      <c r="K22">
        <v>0.29093000292777998</v>
      </c>
      <c r="L22">
        <v>11</v>
      </c>
      <c r="M22">
        <f t="shared" si="5"/>
        <v>2.3978952727983707</v>
      </c>
      <c r="N22" s="2">
        <v>0.73199999999999998</v>
      </c>
      <c r="O22">
        <v>0.273454070091248</v>
      </c>
      <c r="P22">
        <v>-0.62145966291427601</v>
      </c>
    </row>
    <row r="23" spans="1:16" x14ac:dyDescent="0.25">
      <c r="A23" t="s">
        <v>77</v>
      </c>
      <c r="B23" s="1" t="s">
        <v>49</v>
      </c>
      <c r="C23">
        <v>2010</v>
      </c>
      <c r="D23">
        <v>9260285755.6242371</v>
      </c>
      <c r="E23">
        <v>157369872.36597335</v>
      </c>
      <c r="F23">
        <v>1456440</v>
      </c>
      <c r="G23">
        <f t="shared" si="1"/>
        <v>22.949000744267053</v>
      </c>
      <c r="H23">
        <f t="shared" si="2"/>
        <v>18.874109467532513</v>
      </c>
      <c r="I23">
        <f t="shared" si="3"/>
        <v>14.191505659888408</v>
      </c>
      <c r="J23">
        <f t="shared" si="4"/>
        <v>4.6826038076441048</v>
      </c>
      <c r="K23">
        <v>0.241390004754066</v>
      </c>
      <c r="L23">
        <v>6</v>
      </c>
      <c r="M23">
        <f t="shared" si="5"/>
        <v>1.791759469228055</v>
      </c>
      <c r="N23" s="2">
        <v>0.73899999999999999</v>
      </c>
      <c r="O23">
        <v>0.26894655823707603</v>
      </c>
      <c r="P23">
        <v>-0.69503957033157304</v>
      </c>
    </row>
    <row r="24" spans="1:16" x14ac:dyDescent="0.25">
      <c r="A24" t="s">
        <v>77</v>
      </c>
      <c r="B24" s="1" t="s">
        <v>49</v>
      </c>
      <c r="C24">
        <v>2011</v>
      </c>
      <c r="D24">
        <v>10142111824.583546</v>
      </c>
      <c r="E24">
        <v>8580382.3680610768</v>
      </c>
      <c r="F24">
        <v>1452857</v>
      </c>
      <c r="G24">
        <f t="shared" si="1"/>
        <v>23.039962080149159</v>
      </c>
      <c r="H24">
        <f t="shared" si="2"/>
        <v>15.964989035513236</v>
      </c>
      <c r="I24">
        <f t="shared" si="3"/>
        <v>14.189042520641008</v>
      </c>
      <c r="J24">
        <f t="shared" si="4"/>
        <v>1.7759465148722278</v>
      </c>
      <c r="K24">
        <v>0.27013999223709101</v>
      </c>
      <c r="L24">
        <v>19</v>
      </c>
      <c r="M24">
        <f t="shared" si="5"/>
        <v>2.9444389791664403</v>
      </c>
      <c r="N24" s="2">
        <v>0.74299999999999999</v>
      </c>
      <c r="O24">
        <v>0.246940597891808</v>
      </c>
      <c r="P24">
        <v>-0.66455942392349199</v>
      </c>
    </row>
    <row r="25" spans="1:16" x14ac:dyDescent="0.25">
      <c r="A25" t="s">
        <v>77</v>
      </c>
      <c r="B25" s="1" t="s">
        <v>49</v>
      </c>
      <c r="C25">
        <v>2012</v>
      </c>
      <c r="D25">
        <v>10619320682.947443</v>
      </c>
      <c r="E25">
        <v>340902142.00787377</v>
      </c>
      <c r="F25">
        <v>1446050</v>
      </c>
      <c r="G25">
        <f t="shared" si="1"/>
        <v>23.085940884890146</v>
      </c>
      <c r="H25">
        <f t="shared" si="2"/>
        <v>19.647106020479043</v>
      </c>
      <c r="I25">
        <f t="shared" si="3"/>
        <v>14.184346259249647</v>
      </c>
      <c r="J25">
        <f t="shared" si="4"/>
        <v>5.4627597612293961</v>
      </c>
      <c r="K25">
        <v>0.23852999508380901</v>
      </c>
      <c r="L25">
        <v>4</v>
      </c>
      <c r="M25">
        <f t="shared" si="5"/>
        <v>1.3862943611198906</v>
      </c>
      <c r="N25" s="2">
        <v>0.751</v>
      </c>
      <c r="O25">
        <v>0.33427339792251598</v>
      </c>
      <c r="P25">
        <v>-0.588001489639282</v>
      </c>
    </row>
    <row r="26" spans="1:16" x14ac:dyDescent="0.25">
      <c r="A26" t="s">
        <v>77</v>
      </c>
      <c r="B26" s="1" t="s">
        <v>49</v>
      </c>
      <c r="C26">
        <v>2013</v>
      </c>
      <c r="D26">
        <v>11121464437.041531</v>
      </c>
      <c r="E26">
        <v>141957628.74271852</v>
      </c>
      <c r="F26">
        <v>1440477</v>
      </c>
      <c r="G26">
        <f t="shared" si="1"/>
        <v>23.132142811076513</v>
      </c>
      <c r="H26">
        <f t="shared" si="2"/>
        <v>18.771039181902854</v>
      </c>
      <c r="I26">
        <f t="shared" si="3"/>
        <v>14.180484866701015</v>
      </c>
      <c r="J26">
        <f t="shared" si="4"/>
        <v>4.5905543152018389</v>
      </c>
      <c r="K26">
        <v>0.22215999662876099</v>
      </c>
      <c r="L26">
        <v>6</v>
      </c>
      <c r="M26">
        <f t="shared" si="5"/>
        <v>1.791759469228055</v>
      </c>
      <c r="N26" s="2">
        <v>0.75700000000000001</v>
      </c>
      <c r="O26">
        <v>0.23518268764019001</v>
      </c>
      <c r="P26">
        <v>-0.53045022487640403</v>
      </c>
    </row>
    <row r="27" spans="1:16" x14ac:dyDescent="0.25">
      <c r="A27" t="s">
        <v>77</v>
      </c>
      <c r="B27" s="1" t="s">
        <v>49</v>
      </c>
      <c r="C27">
        <v>2014</v>
      </c>
      <c r="D27">
        <v>11609513246.795767</v>
      </c>
      <c r="E27">
        <v>274792647.57945913</v>
      </c>
      <c r="F27">
        <v>1433759</v>
      </c>
      <c r="G27">
        <f t="shared" si="1"/>
        <v>23.17509070643673</v>
      </c>
      <c r="H27">
        <f t="shared" si="2"/>
        <v>19.431527362421271</v>
      </c>
      <c r="I27">
        <f t="shared" si="3"/>
        <v>14.175810224651002</v>
      </c>
      <c r="J27">
        <f t="shared" si="4"/>
        <v>5.2557171377702687</v>
      </c>
      <c r="K27">
        <v>0.24151000380516099</v>
      </c>
      <c r="L27">
        <v>2</v>
      </c>
      <c r="M27">
        <f t="shared" si="5"/>
        <v>0.69314718055994529</v>
      </c>
      <c r="N27" s="2">
        <v>0.76400000000000001</v>
      </c>
      <c r="O27">
        <v>0.15851990878582001</v>
      </c>
      <c r="P27">
        <v>-0.56515538692474399</v>
      </c>
    </row>
    <row r="28" spans="1:16" x14ac:dyDescent="0.25">
      <c r="A28" t="s">
        <v>77</v>
      </c>
      <c r="B28" s="1" t="s">
        <v>49</v>
      </c>
      <c r="C28">
        <v>2015</v>
      </c>
      <c r="D28">
        <v>10553337518.414</v>
      </c>
      <c r="E28">
        <v>946904049.02191782</v>
      </c>
      <c r="F28">
        <v>1426565</v>
      </c>
      <c r="G28">
        <f t="shared" si="1"/>
        <v>23.079707999295902</v>
      </c>
      <c r="H28">
        <f t="shared" si="2"/>
        <v>20.668708325026451</v>
      </c>
      <c r="I28">
        <f t="shared" si="3"/>
        <v>14.170780014668393</v>
      </c>
      <c r="J28">
        <f t="shared" si="4"/>
        <v>6.4979283103580574</v>
      </c>
      <c r="K28">
        <v>0.25001999735832198</v>
      </c>
      <c r="L28">
        <v>2</v>
      </c>
      <c r="M28">
        <f t="shared" si="5"/>
        <v>0.69314718055994529</v>
      </c>
      <c r="N28" s="2">
        <v>0.76900000000000002</v>
      </c>
      <c r="O28">
        <v>0.18917684257030501</v>
      </c>
      <c r="P28">
        <v>-0.60926717519760099</v>
      </c>
    </row>
    <row r="29" spans="1:16" x14ac:dyDescent="0.25">
      <c r="A29" t="s">
        <v>77</v>
      </c>
      <c r="B29" s="1" t="s">
        <v>49</v>
      </c>
      <c r="C29">
        <v>2016</v>
      </c>
      <c r="D29">
        <v>10546136235.521862</v>
      </c>
      <c r="E29">
        <v>1080154627.996227</v>
      </c>
      <c r="F29">
        <v>1418849</v>
      </c>
      <c r="G29">
        <f t="shared" si="1"/>
        <v>23.079025396188761</v>
      </c>
      <c r="H29">
        <f t="shared" si="2"/>
        <v>20.800370041904692</v>
      </c>
      <c r="I29">
        <f t="shared" si="3"/>
        <v>14.165356537513039</v>
      </c>
      <c r="J29">
        <f t="shared" si="4"/>
        <v>6.6350135043916527</v>
      </c>
      <c r="K29">
        <v>0.23305000364780401</v>
      </c>
      <c r="L29">
        <v>1</v>
      </c>
      <c r="M29">
        <f t="shared" si="5"/>
        <v>0</v>
      </c>
      <c r="N29" s="2">
        <v>0.77300000000000002</v>
      </c>
      <c r="O29">
        <v>0.20515838265419001</v>
      </c>
      <c r="P29">
        <v>-0.65912371873855602</v>
      </c>
    </row>
    <row r="30" spans="1:16" x14ac:dyDescent="0.25">
      <c r="A30" t="s">
        <v>77</v>
      </c>
      <c r="B30" s="1" t="s">
        <v>49</v>
      </c>
      <c r="C30">
        <v>2017</v>
      </c>
      <c r="D30">
        <v>11527458709.015797</v>
      </c>
      <c r="E30">
        <v>882018314.04963636</v>
      </c>
      <c r="F30">
        <v>1408448</v>
      </c>
      <c r="G30">
        <f t="shared" si="1"/>
        <v>23.167997740083898</v>
      </c>
      <c r="H30">
        <f t="shared" si="2"/>
        <v>20.597723377984103</v>
      </c>
      <c r="I30">
        <f t="shared" si="3"/>
        <v>14.157998946909206</v>
      </c>
      <c r="J30">
        <f t="shared" si="4"/>
        <v>6.4397244310748967</v>
      </c>
      <c r="K30">
        <v>0.22788000106811501</v>
      </c>
      <c r="L30">
        <v>3</v>
      </c>
      <c r="M30">
        <f t="shared" si="5"/>
        <v>1.0986122886681098</v>
      </c>
      <c r="N30" s="2">
        <v>0.77500000000000002</v>
      </c>
      <c r="O30">
        <v>0.22840796411037401</v>
      </c>
      <c r="P30">
        <v>-0.63648813962936401</v>
      </c>
    </row>
    <row r="31" spans="1:16" x14ac:dyDescent="0.25">
      <c r="A31" t="s">
        <v>77</v>
      </c>
      <c r="B31" s="1" t="s">
        <v>49</v>
      </c>
      <c r="C31">
        <v>2018</v>
      </c>
      <c r="D31">
        <v>12457940694.739531</v>
      </c>
      <c r="E31">
        <v>1085388161.8706315</v>
      </c>
      <c r="F31">
        <v>1397414</v>
      </c>
      <c r="G31">
        <f t="shared" si="1"/>
        <v>23.245624063351201</v>
      </c>
      <c r="H31">
        <f t="shared" si="2"/>
        <v>20.805203512836691</v>
      </c>
      <c r="I31">
        <f t="shared" si="3"/>
        <v>14.150133943656284</v>
      </c>
      <c r="J31">
        <f t="shared" si="4"/>
        <v>6.6550695691804069</v>
      </c>
      <c r="K31">
        <v>0.18875999748706801</v>
      </c>
      <c r="L31">
        <v>4</v>
      </c>
      <c r="M31">
        <f t="shared" si="5"/>
        <v>1.3862943611198906</v>
      </c>
      <c r="N31" s="2">
        <v>0.78100000000000003</v>
      </c>
      <c r="O31">
        <v>0.35059028863906899</v>
      </c>
      <c r="P31">
        <v>-0.40889135003089899</v>
      </c>
    </row>
    <row r="32" spans="1:16" x14ac:dyDescent="0.25">
      <c r="A32" t="s">
        <v>77</v>
      </c>
      <c r="B32" s="1" t="s">
        <v>49</v>
      </c>
      <c r="C32">
        <v>2019</v>
      </c>
      <c r="D32">
        <v>13619290539.211607</v>
      </c>
      <c r="E32">
        <v>544223854.54135799</v>
      </c>
      <c r="F32">
        <v>1413724</v>
      </c>
      <c r="G32">
        <f t="shared" si="1"/>
        <v>23.334753046679026</v>
      </c>
      <c r="H32">
        <f t="shared" si="2"/>
        <v>20.114871217497086</v>
      </c>
      <c r="I32">
        <f t="shared" si="3"/>
        <v>14.161737915438756</v>
      </c>
      <c r="J32">
        <f t="shared" si="4"/>
        <v>5.9531333020583297</v>
      </c>
      <c r="K32">
        <v>0.17854000627994501</v>
      </c>
      <c r="L32">
        <v>4</v>
      </c>
      <c r="M32">
        <f t="shared" si="5"/>
        <v>1.3862943611198906</v>
      </c>
      <c r="N32" s="2">
        <v>0.78900000000000003</v>
      </c>
      <c r="O32">
        <v>0.242604270577431</v>
      </c>
      <c r="P32">
        <v>-0.226975172758102</v>
      </c>
    </row>
    <row r="33" spans="1:16" x14ac:dyDescent="0.25">
      <c r="A33" t="s">
        <v>77</v>
      </c>
      <c r="B33" s="1" t="s">
        <v>49</v>
      </c>
      <c r="C33">
        <v>2020</v>
      </c>
      <c r="D33">
        <v>12641698583.215239</v>
      </c>
      <c r="E33">
        <v>1226876750.7134264</v>
      </c>
      <c r="F33">
        <v>1388336</v>
      </c>
      <c r="G33">
        <f t="shared" si="1"/>
        <v>23.260266598220209</v>
      </c>
      <c r="H33">
        <f t="shared" si="2"/>
        <v>20.927737549963663</v>
      </c>
      <c r="I33">
        <f t="shared" si="3"/>
        <v>14.143616465681433</v>
      </c>
      <c r="J33">
        <f t="shared" si="4"/>
        <v>6.7841210842822299</v>
      </c>
      <c r="K33">
        <v>0.209199994802475</v>
      </c>
      <c r="L33">
        <v>7</v>
      </c>
      <c r="M33">
        <f t="shared" si="5"/>
        <v>1.9459101490553132</v>
      </c>
      <c r="N33" s="2">
        <v>0.76900000000000002</v>
      </c>
      <c r="O33">
        <v>0.238748028874397</v>
      </c>
      <c r="P33">
        <v>-3.4386999905109401E-3</v>
      </c>
    </row>
    <row r="34" spans="1:16" x14ac:dyDescent="0.25">
      <c r="A34" t="s">
        <v>55</v>
      </c>
      <c r="B34" s="1" t="s">
        <v>102</v>
      </c>
      <c r="C34">
        <v>2005</v>
      </c>
      <c r="D34">
        <v>13245421880.834042</v>
      </c>
      <c r="E34">
        <v>6285876873.9006224</v>
      </c>
      <c r="F34">
        <v>4115696</v>
      </c>
      <c r="G34">
        <f t="shared" si="1"/>
        <v>23.306917811245778</v>
      </c>
      <c r="H34">
        <f t="shared" si="2"/>
        <v>22.561571187777204</v>
      </c>
      <c r="I34">
        <f t="shared" si="3"/>
        <v>15.230318515093758</v>
      </c>
      <c r="J34">
        <f t="shared" si="4"/>
        <v>7.3312526726834459</v>
      </c>
      <c r="K34">
        <v>0.21994000673294101</v>
      </c>
      <c r="L34">
        <v>6</v>
      </c>
      <c r="M34">
        <f t="shared" si="5"/>
        <v>1.791759469228055</v>
      </c>
      <c r="N34" s="2">
        <v>0.68200000000000005</v>
      </c>
      <c r="O34">
        <v>-0.58054542541503895</v>
      </c>
      <c r="P34">
        <v>-1.0525214672088601</v>
      </c>
    </row>
    <row r="35" spans="1:16" x14ac:dyDescent="0.25">
      <c r="A35" t="s">
        <v>55</v>
      </c>
      <c r="B35" s="1" t="s">
        <v>102</v>
      </c>
      <c r="C35">
        <v>2006</v>
      </c>
      <c r="D35">
        <v>20981929497.618767</v>
      </c>
      <c r="E35">
        <v>11405178830.258158</v>
      </c>
      <c r="F35">
        <v>4093836</v>
      </c>
      <c r="G35">
        <f t="shared" si="1"/>
        <v>23.766927404113694</v>
      </c>
      <c r="H35">
        <f t="shared" si="2"/>
        <v>23.157333372547395</v>
      </c>
      <c r="I35">
        <f t="shared" si="3"/>
        <v>15.224992985778629</v>
      </c>
      <c r="J35">
        <f t="shared" si="4"/>
        <v>7.9323403867687663</v>
      </c>
      <c r="K35">
        <v>0.17165000736713401</v>
      </c>
      <c r="L35">
        <v>13</v>
      </c>
      <c r="M35">
        <f t="shared" si="5"/>
        <v>2.5649493574615367</v>
      </c>
      <c r="N35" s="2">
        <v>0.70099999999999996</v>
      </c>
      <c r="O35">
        <v>-0.52337568998336803</v>
      </c>
      <c r="P35">
        <v>-1.0959124565124501</v>
      </c>
    </row>
    <row r="36" spans="1:16" x14ac:dyDescent="0.25">
      <c r="A36" t="s">
        <v>55</v>
      </c>
      <c r="B36" s="1" t="s">
        <v>102</v>
      </c>
      <c r="C36">
        <v>2007</v>
      </c>
      <c r="D36">
        <v>33049419431.224392</v>
      </c>
      <c r="E36">
        <v>18817793232.679661</v>
      </c>
      <c r="F36">
        <v>3983259</v>
      </c>
      <c r="G36">
        <f t="shared" si="1"/>
        <v>24.221269836712338</v>
      </c>
      <c r="H36">
        <f t="shared" si="2"/>
        <v>23.658068707729079</v>
      </c>
      <c r="I36">
        <f t="shared" si="3"/>
        <v>15.197610886411697</v>
      </c>
      <c r="J36">
        <f t="shared" si="4"/>
        <v>8.460457821317382</v>
      </c>
      <c r="K36">
        <v>0.170059993863106</v>
      </c>
      <c r="L36">
        <v>8</v>
      </c>
      <c r="M36">
        <f t="shared" si="5"/>
        <v>2.0794415416798357</v>
      </c>
      <c r="N36" s="2">
        <v>0.71399999999999997</v>
      </c>
      <c r="O36">
        <v>-0.46650898456573497</v>
      </c>
      <c r="P36">
        <v>-1.12907373905182</v>
      </c>
    </row>
    <row r="37" spans="1:16" x14ac:dyDescent="0.25">
      <c r="A37" t="s">
        <v>55</v>
      </c>
      <c r="B37" s="1" t="s">
        <v>102</v>
      </c>
      <c r="C37">
        <v>2008</v>
      </c>
      <c r="D37">
        <v>48851293785.448257</v>
      </c>
      <c r="E37">
        <v>28367615199.240524</v>
      </c>
      <c r="F37">
        <v>4027557</v>
      </c>
      <c r="G37">
        <f t="shared" si="1"/>
        <v>24.61204669994525</v>
      </c>
      <c r="H37">
        <f t="shared" si="2"/>
        <v>24.068514021579684</v>
      </c>
      <c r="I37">
        <f t="shared" si="3"/>
        <v>15.208670546633304</v>
      </c>
      <c r="J37">
        <f t="shared" si="4"/>
        <v>8.8598434749463806</v>
      </c>
      <c r="K37">
        <v>0.16553999483585399</v>
      </c>
      <c r="L37">
        <v>7</v>
      </c>
      <c r="M37">
        <f t="shared" si="5"/>
        <v>1.9459101490553132</v>
      </c>
      <c r="N37" s="2">
        <v>0.72299999999999998</v>
      </c>
      <c r="O37">
        <v>-0.36775231361389199</v>
      </c>
      <c r="P37">
        <v>-1.15665423870087</v>
      </c>
    </row>
    <row r="38" spans="1:16" x14ac:dyDescent="0.25">
      <c r="A38" t="s">
        <v>55</v>
      </c>
      <c r="B38" s="1" t="s">
        <v>102</v>
      </c>
      <c r="C38">
        <v>2009</v>
      </c>
      <c r="D38">
        <v>44292427184.949173</v>
      </c>
      <c r="E38">
        <v>20427652737.119347</v>
      </c>
      <c r="F38">
        <v>4141330</v>
      </c>
      <c r="G38">
        <f t="shared" si="1"/>
        <v>24.514079555478588</v>
      </c>
      <c r="H38">
        <f t="shared" si="2"/>
        <v>23.740155346229542</v>
      </c>
      <c r="I38">
        <f t="shared" si="3"/>
        <v>15.236527550248473</v>
      </c>
      <c r="J38">
        <f t="shared" si="4"/>
        <v>8.5036277959810693</v>
      </c>
      <c r="K38">
        <v>0.249760001897812</v>
      </c>
      <c r="L38">
        <v>17</v>
      </c>
      <c r="M38">
        <f t="shared" si="5"/>
        <v>2.8332133440562162</v>
      </c>
      <c r="N38" s="2">
        <v>0.72899999999999998</v>
      </c>
      <c r="O38">
        <v>-0.31673878431320202</v>
      </c>
      <c r="P38">
        <v>-1.1940819025039699</v>
      </c>
    </row>
    <row r="39" spans="1:16" x14ac:dyDescent="0.25">
      <c r="A39" t="s">
        <v>55</v>
      </c>
      <c r="B39" s="1" t="s">
        <v>102</v>
      </c>
      <c r="C39">
        <v>2010</v>
      </c>
      <c r="D39">
        <v>52909294791.926239</v>
      </c>
      <c r="E39">
        <v>26325566907.550461</v>
      </c>
      <c r="F39">
        <v>4193491</v>
      </c>
      <c r="G39">
        <f t="shared" si="1"/>
        <v>24.691844865327706</v>
      </c>
      <c r="H39">
        <f t="shared" si="2"/>
        <v>23.993806429684263</v>
      </c>
      <c r="I39">
        <f t="shared" si="3"/>
        <v>15.24904411922569</v>
      </c>
      <c r="J39">
        <f t="shared" si="4"/>
        <v>8.7447623104585723</v>
      </c>
      <c r="K39">
        <v>0.21848000586032901</v>
      </c>
      <c r="L39">
        <v>17</v>
      </c>
      <c r="M39">
        <f t="shared" si="5"/>
        <v>2.8332133440562162</v>
      </c>
      <c r="N39" s="2">
        <v>0.73299999999999998</v>
      </c>
      <c r="O39">
        <v>-0.39255535602569602</v>
      </c>
      <c r="P39">
        <v>-1.24537324905396</v>
      </c>
    </row>
    <row r="40" spans="1:16" x14ac:dyDescent="0.25">
      <c r="A40" t="s">
        <v>55</v>
      </c>
      <c r="B40" s="1" t="s">
        <v>102</v>
      </c>
      <c r="C40">
        <v>2011</v>
      </c>
      <c r="D40">
        <v>65952796427.947311</v>
      </c>
      <c r="E40">
        <v>34700247946.652214</v>
      </c>
      <c r="F40">
        <v>4273974</v>
      </c>
      <c r="G40">
        <f t="shared" si="1"/>
        <v>24.912205117454111</v>
      </c>
      <c r="H40">
        <f t="shared" si="2"/>
        <v>24.270012669310358</v>
      </c>
      <c r="I40">
        <f t="shared" si="3"/>
        <v>15.268054631548388</v>
      </c>
      <c r="J40">
        <f t="shared" si="4"/>
        <v>9.0019580377619697</v>
      </c>
      <c r="K40">
        <v>0.21084000170230899</v>
      </c>
      <c r="L40">
        <v>12</v>
      </c>
      <c r="M40">
        <f t="shared" si="5"/>
        <v>2.4849066497880004</v>
      </c>
      <c r="N40" s="2">
        <v>0.73499999999999999</v>
      </c>
      <c r="O40">
        <v>-0.38636463880538902</v>
      </c>
      <c r="P40">
        <v>-1.1953147649764999</v>
      </c>
    </row>
    <row r="41" spans="1:16" x14ac:dyDescent="0.25">
      <c r="A41" t="s">
        <v>55</v>
      </c>
      <c r="B41" s="1" t="s">
        <v>102</v>
      </c>
      <c r="C41">
        <v>2016</v>
      </c>
      <c r="D41">
        <v>37866996882.915695</v>
      </c>
      <c r="E41">
        <v>10776751840.232822</v>
      </c>
      <c r="F41">
        <v>4756797</v>
      </c>
      <c r="G41">
        <f t="shared" si="1"/>
        <v>24.357345775026864</v>
      </c>
      <c r="H41">
        <f t="shared" si="2"/>
        <v>23.100657043501222</v>
      </c>
      <c r="I41">
        <f t="shared" si="3"/>
        <v>15.375085100549686</v>
      </c>
      <c r="J41">
        <f t="shared" si="4"/>
        <v>7.7255719429515359</v>
      </c>
      <c r="K41">
        <v>0.20636999607086201</v>
      </c>
      <c r="L41">
        <v>19</v>
      </c>
      <c r="M41">
        <f t="shared" si="5"/>
        <v>2.9444389791664403</v>
      </c>
      <c r="N41" s="2">
        <v>0.752</v>
      </c>
      <c r="O41">
        <v>-0.39561554789543202</v>
      </c>
      <c r="P41">
        <v>-0.85265445709228505</v>
      </c>
    </row>
    <row r="42" spans="1:16" x14ac:dyDescent="0.25">
      <c r="A42" t="s">
        <v>55</v>
      </c>
      <c r="B42" s="1" t="s">
        <v>102</v>
      </c>
      <c r="C42">
        <v>2017</v>
      </c>
      <c r="D42">
        <v>40866627351.981667</v>
      </c>
      <c r="E42">
        <v>12698159085.033016</v>
      </c>
      <c r="F42">
        <v>4841518</v>
      </c>
      <c r="G42">
        <f t="shared" si="1"/>
        <v>24.433579609756663</v>
      </c>
      <c r="H42">
        <f t="shared" si="2"/>
        <v>23.264722865969713</v>
      </c>
      <c r="I42">
        <f t="shared" si="3"/>
        <v>15.392738865882848</v>
      </c>
      <c r="J42">
        <f t="shared" si="4"/>
        <v>7.8719840000868651</v>
      </c>
      <c r="K42">
        <v>0.184679999947548</v>
      </c>
      <c r="L42">
        <v>22</v>
      </c>
      <c r="M42">
        <f t="shared" si="5"/>
        <v>3.0910424533583161</v>
      </c>
      <c r="N42" s="2">
        <v>0.754</v>
      </c>
      <c r="O42">
        <v>-0.37224054336547902</v>
      </c>
      <c r="P42">
        <v>-0.906025290489197</v>
      </c>
    </row>
    <row r="43" spans="1:16" x14ac:dyDescent="0.25">
      <c r="A43" t="s">
        <v>55</v>
      </c>
      <c r="B43" s="1" t="s">
        <v>102</v>
      </c>
      <c r="C43">
        <v>2018</v>
      </c>
      <c r="D43">
        <v>47112470051.770073</v>
      </c>
      <c r="E43">
        <v>16674480314.02039</v>
      </c>
      <c r="F43">
        <v>4925538</v>
      </c>
      <c r="G43">
        <f t="shared" si="1"/>
        <v>24.575803559864642</v>
      </c>
      <c r="H43">
        <f t="shared" si="2"/>
        <v>23.537145262686455</v>
      </c>
      <c r="I43">
        <f t="shared" si="3"/>
        <v>15.409944065200907</v>
      </c>
      <c r="J43">
        <f t="shared" si="4"/>
        <v>8.1272011974855474</v>
      </c>
      <c r="K43">
        <v>0.18415999412536599</v>
      </c>
      <c r="L43">
        <v>16</v>
      </c>
      <c r="M43">
        <f t="shared" si="5"/>
        <v>2.7725887222397811</v>
      </c>
      <c r="N43" s="2">
        <v>0.75700000000000001</v>
      </c>
      <c r="O43">
        <v>-0.31438833475112898</v>
      </c>
      <c r="P43">
        <v>-0.85276949405670199</v>
      </c>
    </row>
    <row r="44" spans="1:16" x14ac:dyDescent="0.25">
      <c r="A44" t="s">
        <v>55</v>
      </c>
      <c r="B44" s="1" t="s">
        <v>102</v>
      </c>
      <c r="C44">
        <v>2019</v>
      </c>
      <c r="D44">
        <v>48174235294.117645</v>
      </c>
      <c r="E44">
        <v>15112176470.588236</v>
      </c>
      <c r="F44">
        <v>5191677</v>
      </c>
      <c r="G44">
        <f t="shared" si="1"/>
        <v>24.598090177620445</v>
      </c>
      <c r="H44">
        <f t="shared" si="2"/>
        <v>23.438766644591219</v>
      </c>
      <c r="I44">
        <f t="shared" si="3"/>
        <v>15.462567324336883</v>
      </c>
      <c r="J44">
        <f t="shared" si="4"/>
        <v>7.9761993202543362</v>
      </c>
      <c r="K44">
        <v>0.200130000710487</v>
      </c>
      <c r="L44">
        <v>20</v>
      </c>
      <c r="M44">
        <f t="shared" si="5"/>
        <v>2.9957322735539909</v>
      </c>
      <c r="N44" s="2">
        <v>0.76200000000000001</v>
      </c>
      <c r="O44">
        <v>-0.223895654082298</v>
      </c>
      <c r="P44">
        <v>-0.84942436218261697</v>
      </c>
    </row>
    <row r="45" spans="1:16" x14ac:dyDescent="0.25">
      <c r="A45" t="s">
        <v>55</v>
      </c>
      <c r="B45" s="1" t="s">
        <v>102</v>
      </c>
      <c r="C45">
        <v>2020</v>
      </c>
      <c r="D45">
        <v>42693000000</v>
      </c>
      <c r="E45">
        <v>9774647058.8235302</v>
      </c>
      <c r="F45">
        <v>5165410</v>
      </c>
      <c r="G45">
        <f t="shared" si="1"/>
        <v>24.477300809316045</v>
      </c>
      <c r="H45">
        <f t="shared" si="2"/>
        <v>23.003057835651767</v>
      </c>
      <c r="I45">
        <f t="shared" si="3"/>
        <v>15.45749503783072</v>
      </c>
      <c r="J45">
        <f t="shared" si="4"/>
        <v>7.5455627978210469</v>
      </c>
      <c r="K45">
        <v>0.22390000522136699</v>
      </c>
      <c r="L45">
        <v>18</v>
      </c>
      <c r="M45">
        <f t="shared" si="5"/>
        <v>2.8903717578961645</v>
      </c>
      <c r="N45" s="2">
        <v>0.72199999999999998</v>
      </c>
      <c r="O45">
        <v>-0.336040139198303</v>
      </c>
      <c r="P45">
        <v>-1.0770840644836399</v>
      </c>
    </row>
    <row r="46" spans="1:16" x14ac:dyDescent="0.25">
      <c r="A46" t="s">
        <v>45</v>
      </c>
      <c r="B46" s="1" t="s">
        <v>8</v>
      </c>
      <c r="C46">
        <v>2005</v>
      </c>
      <c r="D46">
        <v>30210091836.829449</v>
      </c>
      <c r="E46">
        <v>8225246306.562294</v>
      </c>
      <c r="F46">
        <v>4965796</v>
      </c>
      <c r="G46">
        <f t="shared" si="1"/>
        <v>24.131441872288384</v>
      </c>
      <c r="H46">
        <f t="shared" si="2"/>
        <v>22.830474079236073</v>
      </c>
      <c r="I46">
        <f t="shared" si="3"/>
        <v>15.418084164866961</v>
      </c>
      <c r="J46">
        <f t="shared" si="4"/>
        <v>7.4123899143691112</v>
      </c>
      <c r="K46">
        <v>0.67852002382278398</v>
      </c>
      <c r="L46">
        <v>296</v>
      </c>
      <c r="M46">
        <f t="shared" si="5"/>
        <v>5.6903594543240601</v>
      </c>
      <c r="N46" s="2">
        <v>0.749</v>
      </c>
      <c r="O46">
        <v>-1.4419127702712999</v>
      </c>
      <c r="P46">
        <v>-0.72323077917098999</v>
      </c>
    </row>
    <row r="47" spans="1:16" x14ac:dyDescent="0.25">
      <c r="A47" t="s">
        <v>45</v>
      </c>
      <c r="B47" s="1" t="s">
        <v>8</v>
      </c>
      <c r="C47">
        <v>2006</v>
      </c>
      <c r="D47">
        <v>36961894281.344421</v>
      </c>
      <c r="E47">
        <v>10836162196.441227</v>
      </c>
      <c r="F47">
        <v>4986812</v>
      </c>
      <c r="G47">
        <f t="shared" si="1"/>
        <v>24.333153334607424</v>
      </c>
      <c r="H47">
        <f t="shared" si="2"/>
        <v>23.106154729351921</v>
      </c>
      <c r="I47">
        <f t="shared" si="3"/>
        <v>15.422307385802833</v>
      </c>
      <c r="J47">
        <f t="shared" si="4"/>
        <v>7.6838473435490879</v>
      </c>
      <c r="K47">
        <v>0.660650014877319</v>
      </c>
      <c r="L47">
        <v>337</v>
      </c>
      <c r="M47">
        <f t="shared" si="5"/>
        <v>5.8200829303523616</v>
      </c>
      <c r="N47" s="2">
        <v>0.76100000000000001</v>
      </c>
      <c r="O47">
        <v>-1.59623646736145</v>
      </c>
      <c r="P47">
        <v>-0.52986896038055398</v>
      </c>
    </row>
    <row r="48" spans="1:16" x14ac:dyDescent="0.25">
      <c r="A48" t="s">
        <v>45</v>
      </c>
      <c r="B48" s="1" t="s">
        <v>8</v>
      </c>
      <c r="C48">
        <v>2007</v>
      </c>
      <c r="D48">
        <v>45275711995.824951</v>
      </c>
      <c r="E48">
        <v>13431372549.019608</v>
      </c>
      <c r="F48">
        <v>5013841</v>
      </c>
      <c r="G48">
        <f t="shared" si="1"/>
        <v>24.536036566618186</v>
      </c>
      <c r="H48">
        <f t="shared" si="2"/>
        <v>23.320859042484312</v>
      </c>
      <c r="I48">
        <f t="shared" si="3"/>
        <v>15.42771284598895</v>
      </c>
      <c r="J48">
        <f t="shared" si="4"/>
        <v>7.893146196495362</v>
      </c>
      <c r="K48">
        <v>0.96202999353408802</v>
      </c>
      <c r="L48">
        <v>257</v>
      </c>
      <c r="M48">
        <f t="shared" si="5"/>
        <v>5.5490760848952201</v>
      </c>
      <c r="N48" s="2">
        <v>0.77200000000000002</v>
      </c>
      <c r="O48">
        <v>-1.4225609302520801</v>
      </c>
      <c r="P48">
        <v>-0.57420593500137296</v>
      </c>
    </row>
    <row r="49" spans="1:16" x14ac:dyDescent="0.25">
      <c r="A49" t="s">
        <v>45</v>
      </c>
      <c r="B49" s="1" t="s">
        <v>8</v>
      </c>
      <c r="C49">
        <v>2008</v>
      </c>
      <c r="D49">
        <v>60752106347.126007</v>
      </c>
      <c r="E49">
        <v>19147725145.103912</v>
      </c>
      <c r="F49">
        <v>5042776</v>
      </c>
      <c r="G49">
        <f t="shared" si="1"/>
        <v>24.830067590946673</v>
      </c>
      <c r="H49">
        <f t="shared" si="2"/>
        <v>23.675449754138427</v>
      </c>
      <c r="I49">
        <f t="shared" si="3"/>
        <v>15.433467282067198</v>
      </c>
      <c r="J49">
        <f t="shared" si="4"/>
        <v>8.2419824720712285</v>
      </c>
      <c r="K49">
        <v>0.74146997928619396</v>
      </c>
      <c r="L49">
        <v>220</v>
      </c>
      <c r="M49">
        <f t="shared" si="5"/>
        <v>5.393627546352362</v>
      </c>
      <c r="N49" s="2">
        <v>0.78200000000000003</v>
      </c>
      <c r="O49">
        <v>-1.24682021141052</v>
      </c>
      <c r="P49">
        <v>-0.55903631448745705</v>
      </c>
    </row>
    <row r="50" spans="1:16" x14ac:dyDescent="0.25">
      <c r="A50" t="s">
        <v>45</v>
      </c>
      <c r="B50" s="1" t="s">
        <v>8</v>
      </c>
      <c r="C50">
        <v>2009</v>
      </c>
      <c r="D50">
        <v>50873167326.04142</v>
      </c>
      <c r="E50">
        <v>14087037468.000929</v>
      </c>
      <c r="F50">
        <v>5069441</v>
      </c>
      <c r="G50">
        <f t="shared" si="1"/>
        <v>24.652601456984971</v>
      </c>
      <c r="H50">
        <f t="shared" si="2"/>
        <v>23.368520882978334</v>
      </c>
      <c r="I50">
        <f t="shared" si="3"/>
        <v>15.438741113078425</v>
      </c>
      <c r="J50">
        <f t="shared" si="4"/>
        <v>7.9297797698999091</v>
      </c>
      <c r="K50">
        <v>0.62167000770568803</v>
      </c>
      <c r="L50">
        <v>173</v>
      </c>
      <c r="M50">
        <f t="shared" si="5"/>
        <v>5.1532915944977793</v>
      </c>
      <c r="N50" s="2">
        <v>0.78400000000000003</v>
      </c>
      <c r="O50">
        <v>-1.15703141689301</v>
      </c>
      <c r="P50">
        <v>-0.56215173006057695</v>
      </c>
    </row>
    <row r="51" spans="1:16" x14ac:dyDescent="0.25">
      <c r="A51" t="s">
        <v>45</v>
      </c>
      <c r="B51" s="1" t="s">
        <v>8</v>
      </c>
      <c r="C51">
        <v>2010</v>
      </c>
      <c r="D51">
        <v>57231904542.875473</v>
      </c>
      <c r="E51">
        <v>16215826033.822289</v>
      </c>
      <c r="F51">
        <v>5088243</v>
      </c>
      <c r="G51">
        <f t="shared" si="1"/>
        <v>24.770377351563923</v>
      </c>
      <c r="H51">
        <f t="shared" si="2"/>
        <v>23.509253517981232</v>
      </c>
      <c r="I51">
        <f t="shared" si="3"/>
        <v>15.442443142295613</v>
      </c>
      <c r="J51">
        <f t="shared" si="4"/>
        <v>8.0668103756856198</v>
      </c>
      <c r="K51">
        <v>0.66913002729415905</v>
      </c>
      <c r="L51">
        <v>174</v>
      </c>
      <c r="M51">
        <f t="shared" si="5"/>
        <v>5.1590552992145291</v>
      </c>
      <c r="N51" s="2">
        <v>0.79</v>
      </c>
      <c r="O51">
        <v>-1.18830907344818</v>
      </c>
      <c r="P51">
        <v>-0.63343131542205799</v>
      </c>
    </row>
    <row r="52" spans="1:16" x14ac:dyDescent="0.25">
      <c r="A52" t="s">
        <v>45</v>
      </c>
      <c r="B52" s="1" t="s">
        <v>8</v>
      </c>
      <c r="C52">
        <v>2011</v>
      </c>
      <c r="D52">
        <v>61762382327.931931</v>
      </c>
      <c r="E52">
        <v>23374663040.266312</v>
      </c>
      <c r="F52">
        <v>5101163</v>
      </c>
      <c r="G52">
        <f t="shared" si="1"/>
        <v>24.846560315881604</v>
      </c>
      <c r="H52">
        <f t="shared" si="2"/>
        <v>23.874918496627583</v>
      </c>
      <c r="I52">
        <f t="shared" si="3"/>
        <v>15.44497911091325</v>
      </c>
      <c r="J52">
        <f t="shared" si="4"/>
        <v>8.4299393857143325</v>
      </c>
      <c r="K52">
        <v>0.67760002613067605</v>
      </c>
      <c r="L52">
        <v>146</v>
      </c>
      <c r="M52">
        <f t="shared" si="5"/>
        <v>4.9836066217083363</v>
      </c>
      <c r="N52" s="2">
        <v>0.79800000000000004</v>
      </c>
      <c r="O52">
        <v>-1.32364177703857</v>
      </c>
      <c r="P52">
        <v>-0.619015693664551</v>
      </c>
    </row>
    <row r="53" spans="1:16" x14ac:dyDescent="0.25">
      <c r="A53" t="s">
        <v>45</v>
      </c>
      <c r="B53" s="1" t="s">
        <v>8</v>
      </c>
      <c r="C53">
        <v>2012</v>
      </c>
      <c r="D53">
        <v>65685890438.892151</v>
      </c>
      <c r="E53">
        <v>25211349542.395855</v>
      </c>
      <c r="F53">
        <v>5108408</v>
      </c>
      <c r="G53">
        <f t="shared" si="1"/>
        <v>24.9081499819744</v>
      </c>
      <c r="H53">
        <f t="shared" si="2"/>
        <v>23.950560108740262</v>
      </c>
      <c r="I53">
        <f t="shared" si="3"/>
        <v>15.446398367651096</v>
      </c>
      <c r="J53">
        <f t="shared" si="4"/>
        <v>8.5041617410891668</v>
      </c>
      <c r="K53">
        <v>0.64603000879287698</v>
      </c>
      <c r="L53">
        <v>190</v>
      </c>
      <c r="M53">
        <f t="shared" si="5"/>
        <v>5.2470240721604862</v>
      </c>
      <c r="N53" s="2">
        <v>0.80500000000000005</v>
      </c>
      <c r="O53">
        <v>-1.17406153678894</v>
      </c>
      <c r="P53">
        <v>-0.45851936936378501</v>
      </c>
    </row>
    <row r="54" spans="1:16" x14ac:dyDescent="0.25">
      <c r="A54" t="s">
        <v>45</v>
      </c>
      <c r="B54" s="1" t="s">
        <v>8</v>
      </c>
      <c r="C54">
        <v>2013</v>
      </c>
      <c r="D54">
        <v>75527558966.447266</v>
      </c>
      <c r="E54">
        <v>26671674145.978916</v>
      </c>
      <c r="F54">
        <v>5112243</v>
      </c>
      <c r="G54">
        <f t="shared" si="1"/>
        <v>25.04776344602115</v>
      </c>
      <c r="H54">
        <f t="shared" si="2"/>
        <v>24.006867945797847</v>
      </c>
      <c r="I54">
        <f t="shared" si="3"/>
        <v>15.447148809121012</v>
      </c>
      <c r="J54">
        <f t="shared" si="4"/>
        <v>8.5597191366768346</v>
      </c>
      <c r="K54">
        <v>0.65191000699996904</v>
      </c>
      <c r="L54">
        <v>145</v>
      </c>
      <c r="M54">
        <f t="shared" si="5"/>
        <v>4.9767337424205742</v>
      </c>
      <c r="N54" s="2">
        <v>0.80600000000000005</v>
      </c>
      <c r="O54">
        <v>-1.15944516658783</v>
      </c>
      <c r="P54">
        <v>-0.40493836998939498</v>
      </c>
    </row>
    <row r="55" spans="1:16" x14ac:dyDescent="0.25">
      <c r="A55" t="s">
        <v>45</v>
      </c>
      <c r="B55" s="1" t="s">
        <v>8</v>
      </c>
      <c r="C55">
        <v>2014</v>
      </c>
      <c r="D55">
        <v>78812805039.074341</v>
      </c>
      <c r="E55">
        <v>26337770561.712032</v>
      </c>
      <c r="F55">
        <v>5116472</v>
      </c>
      <c r="G55">
        <f t="shared" si="1"/>
        <v>25.090341321104336</v>
      </c>
      <c r="H55">
        <f t="shared" si="2"/>
        <v>23.994269888893893</v>
      </c>
      <c r="I55">
        <f t="shared" si="3"/>
        <v>15.447975697003013</v>
      </c>
      <c r="J55">
        <f t="shared" si="4"/>
        <v>8.5462941918908797</v>
      </c>
      <c r="K55">
        <v>0.50547999143600497</v>
      </c>
      <c r="L55">
        <v>105</v>
      </c>
      <c r="M55">
        <f t="shared" si="5"/>
        <v>4.6539603501575231</v>
      </c>
      <c r="N55" s="2">
        <v>0.81</v>
      </c>
      <c r="O55">
        <v>-1.0994502305984499</v>
      </c>
      <c r="P55">
        <v>-0.23470650613308</v>
      </c>
    </row>
    <row r="56" spans="1:16" x14ac:dyDescent="0.25">
      <c r="A56" t="s">
        <v>45</v>
      </c>
      <c r="B56" s="1" t="s">
        <v>8</v>
      </c>
      <c r="C56">
        <v>2015</v>
      </c>
      <c r="D56">
        <v>56454889146.60878</v>
      </c>
      <c r="E56">
        <v>18179089651.569542</v>
      </c>
      <c r="F56">
        <v>5123402</v>
      </c>
      <c r="G56">
        <f t="shared" si="1"/>
        <v>24.756707734006138</v>
      </c>
      <c r="H56">
        <f t="shared" si="2"/>
        <v>23.6235378502709</v>
      </c>
      <c r="I56">
        <f t="shared" si="3"/>
        <v>15.449329229489448</v>
      </c>
      <c r="J56">
        <f t="shared" si="4"/>
        <v>8.1742086207814513</v>
      </c>
      <c r="K56">
        <v>0.49998998641967801</v>
      </c>
      <c r="L56">
        <v>148</v>
      </c>
      <c r="M56">
        <f t="shared" si="5"/>
        <v>4.9972122737641147</v>
      </c>
      <c r="N56" s="2">
        <v>0.80900000000000005</v>
      </c>
      <c r="O56">
        <v>-1.1664001941680899</v>
      </c>
      <c r="P56">
        <v>-0.31577986478805498</v>
      </c>
    </row>
    <row r="57" spans="1:16" x14ac:dyDescent="0.25">
      <c r="A57" t="s">
        <v>45</v>
      </c>
      <c r="B57" s="1" t="s">
        <v>8</v>
      </c>
      <c r="C57">
        <v>2016</v>
      </c>
      <c r="D57">
        <v>47723545321.258987</v>
      </c>
      <c r="E57">
        <v>14239307827.899897</v>
      </c>
      <c r="F57">
        <v>5126557</v>
      </c>
      <c r="G57">
        <f t="shared" si="1"/>
        <v>24.588690725659092</v>
      </c>
      <c r="H57">
        <f t="shared" si="2"/>
        <v>23.379272134157553</v>
      </c>
      <c r="I57">
        <f t="shared" si="3"/>
        <v>15.449944841727438</v>
      </c>
      <c r="J57">
        <f t="shared" si="4"/>
        <v>7.9293272924301146</v>
      </c>
      <c r="K57">
        <v>0.50063002109527599</v>
      </c>
      <c r="L57">
        <v>66</v>
      </c>
      <c r="M57">
        <f t="shared" si="5"/>
        <v>4.1896547420264252</v>
      </c>
      <c r="N57" s="2">
        <v>0.80900000000000005</v>
      </c>
      <c r="O57">
        <v>-1.09083259105682</v>
      </c>
      <c r="P57">
        <v>-0.22408662736415899</v>
      </c>
    </row>
    <row r="58" spans="1:16" x14ac:dyDescent="0.25">
      <c r="A58" t="s">
        <v>45</v>
      </c>
      <c r="B58" s="1" t="s">
        <v>8</v>
      </c>
      <c r="C58">
        <v>2017</v>
      </c>
      <c r="D58">
        <v>54725302249.808784</v>
      </c>
      <c r="E58">
        <v>16357870397.683226</v>
      </c>
      <c r="F58">
        <v>5119698</v>
      </c>
      <c r="G58">
        <f t="shared" si="1"/>
        <v>24.725592003406486</v>
      </c>
      <c r="H58">
        <f t="shared" si="2"/>
        <v>23.517974988357238</v>
      </c>
      <c r="I58">
        <f t="shared" si="3"/>
        <v>15.448606010901043</v>
      </c>
      <c r="J58">
        <f t="shared" si="4"/>
        <v>8.069368977456195</v>
      </c>
      <c r="K58">
        <v>0.58411002159118697</v>
      </c>
      <c r="L58">
        <v>90</v>
      </c>
      <c r="M58">
        <f t="shared" si="5"/>
        <v>4.499809670330265</v>
      </c>
      <c r="N58" s="2">
        <v>0.81100000000000005</v>
      </c>
      <c r="O58">
        <v>-0.85912555456161499</v>
      </c>
      <c r="P58">
        <v>-0.240941062569618</v>
      </c>
    </row>
    <row r="59" spans="1:16" x14ac:dyDescent="0.25">
      <c r="A59" t="s">
        <v>45</v>
      </c>
      <c r="B59" s="1" t="s">
        <v>8</v>
      </c>
      <c r="C59">
        <v>2018</v>
      </c>
      <c r="D59">
        <v>60031173807.719635</v>
      </c>
      <c r="E59">
        <v>18433869517.591213</v>
      </c>
      <c r="F59">
        <v>5099979</v>
      </c>
      <c r="G59">
        <f t="shared" si="1"/>
        <v>24.818129827704144</v>
      </c>
      <c r="H59">
        <f t="shared" si="2"/>
        <v>23.637455544137143</v>
      </c>
      <c r="I59">
        <f t="shared" si="3"/>
        <v>15.444746980039017</v>
      </c>
      <c r="J59">
        <f t="shared" si="4"/>
        <v>8.1927085640981261</v>
      </c>
      <c r="K59">
        <v>0.60443001985549905</v>
      </c>
      <c r="L59">
        <v>94</v>
      </c>
      <c r="M59">
        <f t="shared" si="5"/>
        <v>4.5432947822700038</v>
      </c>
      <c r="N59" s="2">
        <v>0.81200000000000006</v>
      </c>
      <c r="O59">
        <v>-0.81519275903701804</v>
      </c>
      <c r="P59">
        <v>-0.15480200946330999</v>
      </c>
    </row>
    <row r="60" spans="1:16" x14ac:dyDescent="0.25">
      <c r="A60" t="s">
        <v>45</v>
      </c>
      <c r="B60" s="1" t="s">
        <v>8</v>
      </c>
      <c r="C60">
        <v>2019</v>
      </c>
      <c r="D60">
        <v>64410122847.3508</v>
      </c>
      <c r="E60">
        <v>18803575705.510563</v>
      </c>
      <c r="F60">
        <v>5079798</v>
      </c>
      <c r="G60">
        <f t="shared" si="1"/>
        <v>24.888536644774792</v>
      </c>
      <c r="H60">
        <f t="shared" si="2"/>
        <v>23.657312885798763</v>
      </c>
      <c r="I60">
        <f t="shared" si="3"/>
        <v>15.440782054984536</v>
      </c>
      <c r="J60">
        <f t="shared" si="4"/>
        <v>8.2165308308142269</v>
      </c>
      <c r="K60">
        <v>0.57732999324798595</v>
      </c>
      <c r="L60">
        <v>95</v>
      </c>
      <c r="M60">
        <f t="shared" si="5"/>
        <v>4.5538768916005408</v>
      </c>
      <c r="N60" s="2">
        <v>0.81</v>
      </c>
      <c r="O60">
        <v>-0.67309641838073697</v>
      </c>
      <c r="P60">
        <v>7.2857378982007504E-3</v>
      </c>
    </row>
    <row r="61" spans="1:16" x14ac:dyDescent="0.25">
      <c r="A61" t="s">
        <v>45</v>
      </c>
      <c r="B61" s="1" t="s">
        <v>8</v>
      </c>
      <c r="C61">
        <v>2020</v>
      </c>
      <c r="D61">
        <v>61371755326.2351</v>
      </c>
      <c r="E61">
        <v>18902472766.7729</v>
      </c>
      <c r="F61">
        <v>5044592</v>
      </c>
      <c r="G61">
        <f t="shared" si="1"/>
        <v>24.84021555528863</v>
      </c>
      <c r="H61">
        <f t="shared" si="2"/>
        <v>23.662558584674745</v>
      </c>
      <c r="I61">
        <f t="shared" si="3"/>
        <v>15.433827336348873</v>
      </c>
      <c r="J61">
        <f t="shared" si="4"/>
        <v>8.2287312483258717</v>
      </c>
      <c r="K61">
        <v>0.53900998830795299</v>
      </c>
      <c r="L61">
        <v>77</v>
      </c>
      <c r="M61">
        <f t="shared" si="5"/>
        <v>4.3438054218536841</v>
      </c>
      <c r="N61" s="2">
        <v>0.8</v>
      </c>
      <c r="O61">
        <v>-0.79987579584121704</v>
      </c>
      <c r="P61">
        <v>-0.13396422564983401</v>
      </c>
    </row>
    <row r="62" spans="1:16" x14ac:dyDescent="0.25">
      <c r="A62" t="s">
        <v>61</v>
      </c>
      <c r="B62" s="1" t="s">
        <v>97</v>
      </c>
      <c r="C62">
        <v>2016</v>
      </c>
      <c r="D62">
        <v>17116926327.624695</v>
      </c>
      <c r="E62">
        <v>300495040.26549953</v>
      </c>
      <c r="F62">
        <v>1365760</v>
      </c>
      <c r="G62">
        <f t="shared" ref="G62:G114" si="6">LN(D62)</f>
        <v>23.563333654603511</v>
      </c>
      <c r="H62">
        <f t="shared" ref="H62:H114" si="7">LN(E62)</f>
        <v>19.520941806863227</v>
      </c>
      <c r="I62">
        <f t="shared" ref="I62:I114" si="8">LN(F62)</f>
        <v>14.127221608215416</v>
      </c>
      <c r="J62">
        <f t="shared" ref="J62:J114" si="9">H62-I62</f>
        <v>5.3937201986478112</v>
      </c>
      <c r="K62">
        <v>0.213369995355606</v>
      </c>
      <c r="L62">
        <v>6</v>
      </c>
      <c r="M62">
        <f t="shared" ref="M62:M114" si="10">LN(L62)</f>
        <v>1.791759469228055</v>
      </c>
      <c r="N62" s="2">
        <v>0.76700000000000002</v>
      </c>
      <c r="O62">
        <v>-0.13902088999748199</v>
      </c>
      <c r="P62">
        <v>-0.48580050468444802</v>
      </c>
    </row>
    <row r="63" spans="1:16" x14ac:dyDescent="0.25">
      <c r="A63" t="s">
        <v>61</v>
      </c>
      <c r="B63" s="1" t="s">
        <v>97</v>
      </c>
      <c r="C63">
        <v>2017</v>
      </c>
      <c r="D63">
        <v>18326373366.110527</v>
      </c>
      <c r="E63">
        <v>794224575.63389122</v>
      </c>
      <c r="F63">
        <v>1351075</v>
      </c>
      <c r="G63">
        <f t="shared" si="6"/>
        <v>23.631607026855534</v>
      </c>
      <c r="H63">
        <f t="shared" si="7"/>
        <v>20.492876820068208</v>
      </c>
      <c r="I63">
        <f t="shared" si="8"/>
        <v>14.116411129835219</v>
      </c>
      <c r="J63">
        <f t="shared" si="9"/>
        <v>6.3764656902329886</v>
      </c>
      <c r="K63">
        <v>0.19779999554157299</v>
      </c>
      <c r="L63">
        <v>12</v>
      </c>
      <c r="M63">
        <f t="shared" si="10"/>
        <v>2.4849066497880004</v>
      </c>
      <c r="N63" s="2">
        <v>0.77</v>
      </c>
      <c r="O63">
        <v>-5.7659734040498699E-2</v>
      </c>
      <c r="P63">
        <v>-0.55356633663177501</v>
      </c>
    </row>
    <row r="64" spans="1:16" x14ac:dyDescent="0.25">
      <c r="A64" t="s">
        <v>61</v>
      </c>
      <c r="B64" s="1" t="s">
        <v>97</v>
      </c>
      <c r="C64">
        <v>2018</v>
      </c>
      <c r="D64">
        <v>20484053868.92458</v>
      </c>
      <c r="E64">
        <v>1431186763.9115601</v>
      </c>
      <c r="F64">
        <v>1330417</v>
      </c>
      <c r="G64">
        <f t="shared" si="6"/>
        <v>23.742912560348206</v>
      </c>
      <c r="H64">
        <f t="shared" si="7"/>
        <v>21.08176984187088</v>
      </c>
      <c r="I64">
        <f t="shared" si="8"/>
        <v>14.101002984891062</v>
      </c>
      <c r="J64">
        <f t="shared" si="9"/>
        <v>6.9807668569798178</v>
      </c>
      <c r="K64">
        <v>0.19199000298976901</v>
      </c>
      <c r="L64">
        <v>12</v>
      </c>
      <c r="M64">
        <f t="shared" si="10"/>
        <v>2.4849066497880004</v>
      </c>
      <c r="N64" s="2">
        <v>0.77400000000000002</v>
      </c>
      <c r="O64">
        <v>-0.14139465987682301</v>
      </c>
      <c r="P64">
        <v>-0.60582715272903398</v>
      </c>
    </row>
    <row r="65" spans="1:16" x14ac:dyDescent="0.25">
      <c r="A65" t="s">
        <v>61</v>
      </c>
      <c r="B65" s="1" t="s">
        <v>97</v>
      </c>
      <c r="C65">
        <v>2019</v>
      </c>
      <c r="D65">
        <v>20482608755.378956</v>
      </c>
      <c r="E65">
        <v>1700694184.4877679</v>
      </c>
      <c r="F65">
        <v>1344543</v>
      </c>
      <c r="G65">
        <f t="shared" si="6"/>
        <v>23.742842009639233</v>
      </c>
      <c r="H65">
        <f t="shared" si="7"/>
        <v>21.254302348475267</v>
      </c>
      <c r="I65">
        <f t="shared" si="8"/>
        <v>14.111564736329136</v>
      </c>
      <c r="J65">
        <f t="shared" si="9"/>
        <v>7.1427376121461315</v>
      </c>
      <c r="K65">
        <v>0.190009996294975</v>
      </c>
      <c r="L65">
        <v>14</v>
      </c>
      <c r="M65">
        <f t="shared" si="10"/>
        <v>2.6390573296152584</v>
      </c>
      <c r="N65" s="2">
        <v>0.78</v>
      </c>
      <c r="O65">
        <v>-0.12873539328575101</v>
      </c>
      <c r="P65">
        <v>-0.64684289693832397</v>
      </c>
    </row>
    <row r="66" spans="1:16" x14ac:dyDescent="0.25">
      <c r="A66" t="s">
        <v>61</v>
      </c>
      <c r="B66" s="1" t="s">
        <v>97</v>
      </c>
      <c r="C66">
        <v>2020</v>
      </c>
      <c r="D66">
        <v>20226036564.412888</v>
      </c>
      <c r="E66">
        <v>1480277465.5352161</v>
      </c>
      <c r="F66">
        <v>1321242</v>
      </c>
      <c r="G66">
        <f t="shared" si="6"/>
        <v>23.730236550217345</v>
      </c>
      <c r="H66">
        <f t="shared" si="7"/>
        <v>21.115495383863855</v>
      </c>
      <c r="I66">
        <f t="shared" si="8"/>
        <v>14.094082761275974</v>
      </c>
      <c r="J66">
        <f t="shared" si="9"/>
        <v>7.0214126225878815</v>
      </c>
      <c r="K66">
        <v>0.20325000584125499</v>
      </c>
      <c r="L66">
        <v>5</v>
      </c>
      <c r="M66">
        <f t="shared" si="10"/>
        <v>1.6094379124341003</v>
      </c>
      <c r="N66" s="2">
        <v>0.77600000000000002</v>
      </c>
      <c r="O66">
        <v>-0.18239288032054901</v>
      </c>
      <c r="P66">
        <v>-0.64268678426742598</v>
      </c>
    </row>
    <row r="67" spans="1:16" x14ac:dyDescent="0.25">
      <c r="A67" t="s">
        <v>18</v>
      </c>
      <c r="B67" s="1" t="s">
        <v>75</v>
      </c>
      <c r="C67">
        <v>2005</v>
      </c>
      <c r="D67">
        <v>891633839853.10474</v>
      </c>
      <c r="E67">
        <v>183727811155.97736</v>
      </c>
      <c r="F67">
        <v>90599379</v>
      </c>
      <c r="G67">
        <f t="shared" si="6"/>
        <v>27.516321391812703</v>
      </c>
      <c r="H67">
        <f t="shared" si="7"/>
        <v>25.936721212134081</v>
      </c>
      <c r="I67">
        <f t="shared" si="8"/>
        <v>18.321957916685083</v>
      </c>
      <c r="J67">
        <f t="shared" si="9"/>
        <v>7.6147632954489985</v>
      </c>
      <c r="K67">
        <v>1.0024600028991699</v>
      </c>
      <c r="L67">
        <v>14444</v>
      </c>
      <c r="M67">
        <f t="shared" si="10"/>
        <v>9.5780343823973482</v>
      </c>
      <c r="N67" s="2">
        <v>0.69599999999999995</v>
      </c>
      <c r="O67">
        <v>3.6901257932186099E-2</v>
      </c>
      <c r="P67">
        <v>-0.153748139739037</v>
      </c>
    </row>
    <row r="68" spans="1:16" x14ac:dyDescent="0.25">
      <c r="A68" t="s">
        <v>18</v>
      </c>
      <c r="B68" s="1" t="s">
        <v>75</v>
      </c>
      <c r="C68">
        <v>2006</v>
      </c>
      <c r="D68">
        <v>1107626541710.7407</v>
      </c>
      <c r="E68">
        <v>227322698932.16055</v>
      </c>
      <c r="F68">
        <v>91731711</v>
      </c>
      <c r="G68">
        <f t="shared" si="6"/>
        <v>27.733240591219683</v>
      </c>
      <c r="H68">
        <f t="shared" si="7"/>
        <v>26.149636426136809</v>
      </c>
      <c r="I68">
        <f t="shared" si="8"/>
        <v>18.334378689879198</v>
      </c>
      <c r="J68">
        <f t="shared" si="9"/>
        <v>7.8152577362576103</v>
      </c>
      <c r="K68">
        <v>0.98807001113891602</v>
      </c>
      <c r="L68">
        <v>15886</v>
      </c>
      <c r="M68">
        <f t="shared" si="10"/>
        <v>9.6731934971930773</v>
      </c>
      <c r="N68" s="2">
        <v>0.70099999999999996</v>
      </c>
      <c r="O68">
        <v>-4.1273385286331198E-2</v>
      </c>
      <c r="P68">
        <v>-0.120479896664619</v>
      </c>
    </row>
    <row r="69" spans="1:16" x14ac:dyDescent="0.25">
      <c r="A69" t="s">
        <v>18</v>
      </c>
      <c r="B69" s="1" t="s">
        <v>75</v>
      </c>
      <c r="C69">
        <v>2007</v>
      </c>
      <c r="D69">
        <v>1397114486471.384</v>
      </c>
      <c r="E69">
        <v>295937696154.91681</v>
      </c>
      <c r="F69">
        <v>92730992</v>
      </c>
      <c r="G69">
        <f t="shared" si="6"/>
        <v>27.965430144507213</v>
      </c>
      <c r="H69">
        <f t="shared" si="7"/>
        <v>26.413414783152074</v>
      </c>
      <c r="I69">
        <f t="shared" si="8"/>
        <v>18.345213300443767</v>
      </c>
      <c r="J69">
        <f t="shared" si="9"/>
        <v>8.0682014827083073</v>
      </c>
      <c r="K69">
        <v>1.0813800096511801</v>
      </c>
      <c r="L69">
        <v>17469</v>
      </c>
      <c r="M69">
        <f t="shared" si="10"/>
        <v>9.7681831605052292</v>
      </c>
      <c r="N69" s="2">
        <v>0.70799999999999996</v>
      </c>
      <c r="O69">
        <v>-2.28346195071936E-2</v>
      </c>
      <c r="P69">
        <v>-8.3988785743713407E-2</v>
      </c>
    </row>
    <row r="70" spans="1:16" x14ac:dyDescent="0.25">
      <c r="A70" t="s">
        <v>18</v>
      </c>
      <c r="B70" s="1" t="s">
        <v>75</v>
      </c>
      <c r="C70">
        <v>2008</v>
      </c>
      <c r="D70">
        <v>1695855083552.0544</v>
      </c>
      <c r="E70">
        <v>363418598000.72748</v>
      </c>
      <c r="F70">
        <v>93935308</v>
      </c>
      <c r="G70">
        <f t="shared" si="6"/>
        <v>28.159208203628705</v>
      </c>
      <c r="H70">
        <f t="shared" si="7"/>
        <v>26.618821169366495</v>
      </c>
      <c r="I70">
        <f t="shared" si="8"/>
        <v>18.358116890541204</v>
      </c>
      <c r="J70">
        <f t="shared" si="9"/>
        <v>8.2607042788252905</v>
      </c>
      <c r="K70">
        <v>1.12904000282288</v>
      </c>
      <c r="L70">
        <v>18890</v>
      </c>
      <c r="M70">
        <f t="shared" si="10"/>
        <v>9.8463879604955551</v>
      </c>
      <c r="N70" s="2">
        <v>0.71399999999999997</v>
      </c>
      <c r="O70">
        <v>7.7027410268783597E-2</v>
      </c>
      <c r="P70">
        <v>3.43736819922924E-3</v>
      </c>
    </row>
    <row r="71" spans="1:16" x14ac:dyDescent="0.25">
      <c r="A71" t="s">
        <v>18</v>
      </c>
      <c r="B71" s="1" t="s">
        <v>75</v>
      </c>
      <c r="C71">
        <v>2009</v>
      </c>
      <c r="D71">
        <v>1666996438681.4629</v>
      </c>
      <c r="E71">
        <v>306609016278.6557</v>
      </c>
      <c r="F71">
        <v>95703669</v>
      </c>
      <c r="G71">
        <f t="shared" si="6"/>
        <v>28.142044583331074</v>
      </c>
      <c r="H71">
        <f t="shared" si="7"/>
        <v>26.44883921025329</v>
      </c>
      <c r="I71">
        <f t="shared" si="8"/>
        <v>18.376767194246273</v>
      </c>
      <c r="J71">
        <f t="shared" si="9"/>
        <v>8.0720720160070165</v>
      </c>
      <c r="K71">
        <v>1.1186599731445299</v>
      </c>
      <c r="L71">
        <v>18135</v>
      </c>
      <c r="M71">
        <f t="shared" si="10"/>
        <v>9.8055990517170031</v>
      </c>
      <c r="N71" s="2">
        <v>0.71699999999999997</v>
      </c>
      <c r="O71">
        <v>0.127607271075249</v>
      </c>
      <c r="P71">
        <v>-7.9985611140727997E-2</v>
      </c>
    </row>
    <row r="72" spans="1:16" x14ac:dyDescent="0.25">
      <c r="A72" t="s">
        <v>18</v>
      </c>
      <c r="B72" s="1" t="s">
        <v>75</v>
      </c>
      <c r="C72">
        <v>2010</v>
      </c>
      <c r="D72">
        <v>2208837745214.2334</v>
      </c>
      <c r="E72">
        <v>458561629567.98639</v>
      </c>
      <c r="F72">
        <v>95367508</v>
      </c>
      <c r="G72">
        <f t="shared" si="6"/>
        <v>28.423487585977664</v>
      </c>
      <c r="H72">
        <f t="shared" si="7"/>
        <v>26.851360535243519</v>
      </c>
      <c r="I72">
        <f t="shared" si="8"/>
        <v>18.373248491403494</v>
      </c>
      <c r="J72">
        <f t="shared" si="9"/>
        <v>8.4781120438400244</v>
      </c>
      <c r="K72">
        <v>1.1599199771881099</v>
      </c>
      <c r="L72">
        <v>20771</v>
      </c>
      <c r="M72">
        <f t="shared" si="10"/>
        <v>9.9413130620761088</v>
      </c>
      <c r="N72" s="2">
        <v>0.72199999999999998</v>
      </c>
      <c r="O72">
        <v>0.24661986529827101</v>
      </c>
      <c r="P72">
        <v>4.3806359171867398E-2</v>
      </c>
    </row>
    <row r="73" spans="1:16" x14ac:dyDescent="0.25">
      <c r="A73" t="s">
        <v>18</v>
      </c>
      <c r="B73" s="1" t="s">
        <v>75</v>
      </c>
      <c r="C73">
        <v>2011</v>
      </c>
      <c r="D73">
        <v>2616156223977.4658</v>
      </c>
      <c r="E73">
        <v>550881172373.26709</v>
      </c>
      <c r="F73">
        <v>94948394</v>
      </c>
      <c r="G73">
        <f t="shared" si="6"/>
        <v>28.592727266386234</v>
      </c>
      <c r="H73">
        <f t="shared" si="7"/>
        <v>27.034784964717026</v>
      </c>
      <c r="I73">
        <f t="shared" si="8"/>
        <v>18.368844080914172</v>
      </c>
      <c r="J73">
        <f t="shared" si="9"/>
        <v>8.665940883802854</v>
      </c>
      <c r="K73">
        <v>1.13966000080109</v>
      </c>
      <c r="L73">
        <v>23954</v>
      </c>
      <c r="M73">
        <f t="shared" si="10"/>
        <v>10.083890603507452</v>
      </c>
      <c r="N73" s="2">
        <v>0.72699999999999998</v>
      </c>
      <c r="O73">
        <v>0.25802206993103</v>
      </c>
      <c r="P73">
        <v>0.16838242113590199</v>
      </c>
    </row>
    <row r="74" spans="1:16" x14ac:dyDescent="0.25">
      <c r="A74" t="s">
        <v>18</v>
      </c>
      <c r="B74" s="1" t="s">
        <v>75</v>
      </c>
      <c r="C74">
        <v>2012</v>
      </c>
      <c r="D74">
        <v>2465227803011.5679</v>
      </c>
      <c r="E74">
        <v>494476129977.99872</v>
      </c>
      <c r="F74">
        <v>97188186</v>
      </c>
      <c r="G74">
        <f t="shared" si="6"/>
        <v>28.53330533416803</v>
      </c>
      <c r="H74">
        <f t="shared" si="7"/>
        <v>26.926764715818813</v>
      </c>
      <c r="I74">
        <f t="shared" si="8"/>
        <v>18.392159718833817</v>
      </c>
      <c r="J74">
        <f t="shared" si="9"/>
        <v>8.5346049969849958</v>
      </c>
      <c r="K74">
        <v>1.1268399953842201</v>
      </c>
      <c r="L74">
        <v>25637</v>
      </c>
      <c r="M74">
        <f t="shared" si="10"/>
        <v>10.151791899508838</v>
      </c>
      <c r="N74" s="2">
        <v>0.73199999999999998</v>
      </c>
      <c r="O74">
        <v>0.173244088888168</v>
      </c>
      <c r="P74">
        <v>-4.6854231506586103E-2</v>
      </c>
    </row>
    <row r="75" spans="1:16" x14ac:dyDescent="0.25">
      <c r="A75" t="s">
        <v>18</v>
      </c>
      <c r="B75" s="1" t="s">
        <v>75</v>
      </c>
      <c r="C75">
        <v>2013</v>
      </c>
      <c r="D75">
        <v>2472819535742.7266</v>
      </c>
      <c r="E75">
        <v>479535863918.4187</v>
      </c>
      <c r="F75">
        <v>98532617</v>
      </c>
      <c r="G75">
        <f t="shared" si="6"/>
        <v>28.536380127984941</v>
      </c>
      <c r="H75">
        <f t="shared" si="7"/>
        <v>26.896084522880489</v>
      </c>
      <c r="I75">
        <f t="shared" si="8"/>
        <v>18.405898188384381</v>
      </c>
      <c r="J75">
        <f t="shared" si="9"/>
        <v>8.4901863344961086</v>
      </c>
      <c r="K75">
        <v>1.1956700086593599</v>
      </c>
      <c r="L75">
        <v>25925</v>
      </c>
      <c r="M75">
        <f t="shared" si="10"/>
        <v>10.162963033097729</v>
      </c>
      <c r="N75" s="2">
        <v>0.75</v>
      </c>
      <c r="O75">
        <v>0.146290123462677</v>
      </c>
      <c r="P75">
        <v>-9.76997464895248E-2</v>
      </c>
    </row>
    <row r="76" spans="1:16" x14ac:dyDescent="0.25">
      <c r="A76" t="s">
        <v>18</v>
      </c>
      <c r="B76" s="1" t="s">
        <v>75</v>
      </c>
      <c r="C76">
        <v>2014</v>
      </c>
      <c r="D76">
        <v>2456043727198.8545</v>
      </c>
      <c r="E76">
        <v>439309854089.67114</v>
      </c>
      <c r="F76">
        <v>99628945</v>
      </c>
      <c r="G76">
        <f t="shared" si="6"/>
        <v>28.529572930289014</v>
      </c>
      <c r="H76">
        <f t="shared" si="7"/>
        <v>26.808470819021139</v>
      </c>
      <c r="I76">
        <f t="shared" si="8"/>
        <v>18.416963292785006</v>
      </c>
      <c r="J76">
        <f t="shared" si="9"/>
        <v>8.3915075262361327</v>
      </c>
      <c r="K76">
        <v>1.26970994472504</v>
      </c>
      <c r="L76">
        <v>25683</v>
      </c>
      <c r="M76">
        <f t="shared" si="10"/>
        <v>10.153584573410596</v>
      </c>
      <c r="N76" s="2">
        <v>0.753</v>
      </c>
      <c r="O76">
        <v>-2.8219953179359401E-2</v>
      </c>
      <c r="P76">
        <v>-0.36574590206146201</v>
      </c>
    </row>
    <row r="77" spans="1:16" x14ac:dyDescent="0.25">
      <c r="A77" t="s">
        <v>18</v>
      </c>
      <c r="B77" s="1" t="s">
        <v>75</v>
      </c>
      <c r="C77">
        <v>2015</v>
      </c>
      <c r="D77">
        <v>1802212206904.6777</v>
      </c>
      <c r="E77">
        <v>293010558946.09521</v>
      </c>
      <c r="F77">
        <v>101474161</v>
      </c>
      <c r="G77">
        <f t="shared" si="6"/>
        <v>28.2200360300596</v>
      </c>
      <c r="H77">
        <f t="shared" si="7"/>
        <v>26.403474482672834</v>
      </c>
      <c r="I77">
        <f t="shared" si="8"/>
        <v>18.43531475260874</v>
      </c>
      <c r="J77">
        <f t="shared" si="9"/>
        <v>7.9681597300640945</v>
      </c>
      <c r="K77">
        <v>1.3709299564361599</v>
      </c>
      <c r="L77">
        <v>25578</v>
      </c>
      <c r="M77">
        <f t="shared" si="10"/>
        <v>10.149487885993265</v>
      </c>
      <c r="N77" s="2">
        <v>0.752</v>
      </c>
      <c r="O77">
        <v>-0.18191003799438499</v>
      </c>
      <c r="P77">
        <v>-0.45737284421920799</v>
      </c>
    </row>
    <row r="78" spans="1:16" x14ac:dyDescent="0.25">
      <c r="A78" t="s">
        <v>18</v>
      </c>
      <c r="B78" s="1" t="s">
        <v>75</v>
      </c>
      <c r="C78">
        <v>2016</v>
      </c>
      <c r="D78">
        <v>1795693482652.5151</v>
      </c>
      <c r="E78">
        <v>275984135252.26758</v>
      </c>
      <c r="F78">
        <v>102923211</v>
      </c>
      <c r="G78">
        <f t="shared" si="6"/>
        <v>28.216412404568796</v>
      </c>
      <c r="H78">
        <f t="shared" si="7"/>
        <v>26.343609220041422</v>
      </c>
      <c r="I78">
        <f t="shared" si="8"/>
        <v>18.449493743880645</v>
      </c>
      <c r="J78">
        <f t="shared" si="9"/>
        <v>7.8941154761607777</v>
      </c>
      <c r="K78">
        <v>1.2863700389862101</v>
      </c>
      <c r="L78">
        <v>22810</v>
      </c>
      <c r="M78">
        <f t="shared" si="10"/>
        <v>10.034954315278434</v>
      </c>
      <c r="N78" s="2">
        <v>0.753</v>
      </c>
      <c r="O78">
        <v>-0.189951747655869</v>
      </c>
      <c r="P78">
        <v>-0.44545093178749101</v>
      </c>
    </row>
    <row r="79" spans="1:16" x14ac:dyDescent="0.25">
      <c r="A79" t="s">
        <v>18</v>
      </c>
      <c r="B79" s="1" t="s">
        <v>75</v>
      </c>
      <c r="C79">
        <v>2017</v>
      </c>
      <c r="D79">
        <v>2063514977334.3206</v>
      </c>
      <c r="E79">
        <v>316621383353.76855</v>
      </c>
      <c r="F79">
        <v>104715941</v>
      </c>
      <c r="G79">
        <f t="shared" si="6"/>
        <v>28.355431944331421</v>
      </c>
      <c r="H79">
        <f t="shared" si="7"/>
        <v>26.480972522711955</v>
      </c>
      <c r="I79">
        <f t="shared" si="8"/>
        <v>18.46676191831051</v>
      </c>
      <c r="J79">
        <f t="shared" si="9"/>
        <v>8.0142106044014447</v>
      </c>
      <c r="K79">
        <v>1.1174999475479099</v>
      </c>
      <c r="L79">
        <v>20178</v>
      </c>
      <c r="M79">
        <f t="shared" si="10"/>
        <v>9.9123481809683245</v>
      </c>
      <c r="N79" s="2">
        <v>0.75800000000000001</v>
      </c>
      <c r="O79">
        <v>-0.130867004394531</v>
      </c>
      <c r="P79">
        <v>-0.55933576822280895</v>
      </c>
    </row>
    <row r="80" spans="1:16" x14ac:dyDescent="0.25">
      <c r="A80" t="s">
        <v>18</v>
      </c>
      <c r="B80" s="1" t="s">
        <v>75</v>
      </c>
      <c r="C80">
        <v>2018</v>
      </c>
      <c r="D80">
        <v>1916933898038.3572</v>
      </c>
      <c r="E80">
        <v>296910771588.67761</v>
      </c>
      <c r="F80">
        <v>106048382</v>
      </c>
      <c r="G80">
        <f t="shared" si="6"/>
        <v>28.281748097414418</v>
      </c>
      <c r="H80">
        <f t="shared" si="7"/>
        <v>26.416697498248912</v>
      </c>
      <c r="I80">
        <f t="shared" si="8"/>
        <v>18.479405981904311</v>
      </c>
      <c r="J80">
        <f t="shared" si="9"/>
        <v>7.937291516344601</v>
      </c>
      <c r="K80">
        <v>1.1676900386810301</v>
      </c>
      <c r="L80">
        <v>19877</v>
      </c>
      <c r="M80">
        <f t="shared" si="10"/>
        <v>9.8973185633905985</v>
      </c>
      <c r="N80" s="2">
        <v>0.76200000000000001</v>
      </c>
      <c r="O80">
        <v>-0.293125450611115</v>
      </c>
      <c r="P80">
        <v>-0.48060628771781899</v>
      </c>
    </row>
    <row r="81" spans="1:16" x14ac:dyDescent="0.25">
      <c r="A81" t="s">
        <v>18</v>
      </c>
      <c r="B81" s="1" t="s">
        <v>75</v>
      </c>
      <c r="C81">
        <v>2019</v>
      </c>
      <c r="D81">
        <v>1873288205186.4495</v>
      </c>
      <c r="E81">
        <v>278602377758.63989</v>
      </c>
      <c r="F81">
        <v>107999623</v>
      </c>
      <c r="G81">
        <f t="shared" si="6"/>
        <v>28.258716401117752</v>
      </c>
      <c r="H81">
        <f t="shared" si="7"/>
        <v>26.353051432924183</v>
      </c>
      <c r="I81">
        <f t="shared" si="8"/>
        <v>18.497638294341659</v>
      </c>
      <c r="J81">
        <f t="shared" si="9"/>
        <v>7.8554131385825237</v>
      </c>
      <c r="K81">
        <v>1.21096003055573</v>
      </c>
      <c r="L81">
        <v>19932</v>
      </c>
      <c r="M81">
        <f t="shared" si="10"/>
        <v>9.9000817594012958</v>
      </c>
      <c r="N81" s="2">
        <v>0.76400000000000001</v>
      </c>
      <c r="O81">
        <v>-0.121404096484184</v>
      </c>
      <c r="P81">
        <v>-0.40767928957939098</v>
      </c>
    </row>
    <row r="82" spans="1:16" x14ac:dyDescent="0.25">
      <c r="A82" t="s">
        <v>18</v>
      </c>
      <c r="B82" s="1" t="s">
        <v>75</v>
      </c>
      <c r="C82">
        <v>2020</v>
      </c>
      <c r="D82">
        <v>1476107231194.106</v>
      </c>
      <c r="E82">
        <v>246817618010.93616</v>
      </c>
      <c r="F82">
        <v>101755860</v>
      </c>
      <c r="G82">
        <f t="shared" si="6"/>
        <v>28.02042948932846</v>
      </c>
      <c r="H82">
        <f t="shared" si="7"/>
        <v>26.23191551221155</v>
      </c>
      <c r="I82">
        <f t="shared" si="8"/>
        <v>18.438086972766207</v>
      </c>
      <c r="J82">
        <f t="shared" si="9"/>
        <v>7.793828539445343</v>
      </c>
      <c r="K82">
        <v>1.1452599763870199</v>
      </c>
      <c r="L82">
        <v>19058</v>
      </c>
      <c r="M82">
        <f t="shared" si="10"/>
        <v>9.855242239908133</v>
      </c>
      <c r="N82" s="2">
        <v>0.75800000000000001</v>
      </c>
      <c r="O82">
        <v>-0.111011527478695</v>
      </c>
      <c r="P82">
        <v>-0.42893502116203303</v>
      </c>
    </row>
    <row r="83" spans="1:16" x14ac:dyDescent="0.25">
      <c r="A83" t="s">
        <v>37</v>
      </c>
      <c r="B83" s="1" t="s">
        <v>26</v>
      </c>
      <c r="C83">
        <v>2005</v>
      </c>
      <c r="D83">
        <v>2285961149879.8496</v>
      </c>
      <c r="E83">
        <v>1042751673409.7546</v>
      </c>
      <c r="F83">
        <v>769371812</v>
      </c>
      <c r="G83">
        <f t="shared" si="6"/>
        <v>28.45780768635354</v>
      </c>
      <c r="H83">
        <f t="shared" si="7"/>
        <v>27.672884174826546</v>
      </c>
      <c r="I83">
        <f t="shared" si="8"/>
        <v>20.461084911271335</v>
      </c>
      <c r="J83">
        <f t="shared" si="9"/>
        <v>7.2117992635552106</v>
      </c>
      <c r="K83">
        <v>1.3079199790954601</v>
      </c>
      <c r="L83">
        <v>79842</v>
      </c>
      <c r="M83">
        <f t="shared" si="10"/>
        <v>11.287804960771798</v>
      </c>
      <c r="N83" s="2">
        <v>0.64300000000000002</v>
      </c>
      <c r="O83">
        <v>-0.18376947939395899</v>
      </c>
      <c r="P83">
        <v>-0.61788773536682096</v>
      </c>
    </row>
    <row r="84" spans="1:16" x14ac:dyDescent="0.25">
      <c r="A84" t="s">
        <v>37</v>
      </c>
      <c r="B84" s="1" t="s">
        <v>26</v>
      </c>
      <c r="C84">
        <v>2006</v>
      </c>
      <c r="D84">
        <v>2752118657184.0151</v>
      </c>
      <c r="E84">
        <v>1305261200664.0046</v>
      </c>
      <c r="F84">
        <v>774287037</v>
      </c>
      <c r="G84">
        <f t="shared" si="6"/>
        <v>28.643392151779455</v>
      </c>
      <c r="H84">
        <f t="shared" si="7"/>
        <v>27.897424290440632</v>
      </c>
      <c r="I84">
        <f t="shared" si="8"/>
        <v>20.467453211643775</v>
      </c>
      <c r="J84">
        <f t="shared" si="9"/>
        <v>7.4299710787968571</v>
      </c>
      <c r="K84">
        <v>1.3685400485992401</v>
      </c>
      <c r="L84">
        <v>88183</v>
      </c>
      <c r="M84">
        <f t="shared" si="10"/>
        <v>11.387169479653243</v>
      </c>
      <c r="N84" s="2">
        <v>0.65600000000000003</v>
      </c>
      <c r="O84">
        <v>-0.25838720798492398</v>
      </c>
      <c r="P84">
        <v>-0.51888769865036</v>
      </c>
    </row>
    <row r="85" spans="1:16" x14ac:dyDescent="0.25">
      <c r="A85" t="s">
        <v>37</v>
      </c>
      <c r="B85" s="1" t="s">
        <v>26</v>
      </c>
      <c r="C85">
        <v>2007</v>
      </c>
      <c r="D85">
        <v>3550327802998.397</v>
      </c>
      <c r="E85">
        <v>1739792420695.7</v>
      </c>
      <c r="F85">
        <v>776045127</v>
      </c>
      <c r="G85">
        <f t="shared" si="6"/>
        <v>28.898061054025689</v>
      </c>
      <c r="H85">
        <f t="shared" si="7"/>
        <v>28.184786923587613</v>
      </c>
      <c r="I85">
        <f t="shared" si="8"/>
        <v>20.469721229807167</v>
      </c>
      <c r="J85">
        <f t="shared" si="9"/>
        <v>7.7150656937804456</v>
      </c>
      <c r="K85">
        <v>1.37369000911713</v>
      </c>
      <c r="L85">
        <v>92101</v>
      </c>
      <c r="M85">
        <f t="shared" si="10"/>
        <v>11.430641079947755</v>
      </c>
      <c r="N85" s="2">
        <v>0.66800000000000004</v>
      </c>
      <c r="O85">
        <v>-0.23336341977119399</v>
      </c>
      <c r="P85">
        <v>-0.59923464059829701</v>
      </c>
    </row>
    <row r="86" spans="1:16" x14ac:dyDescent="0.25">
      <c r="A86" t="s">
        <v>37</v>
      </c>
      <c r="B86" s="1" t="s">
        <v>26</v>
      </c>
      <c r="C86">
        <v>2008</v>
      </c>
      <c r="D86">
        <v>4594336785737.6719</v>
      </c>
      <c r="E86">
        <v>2307574816478.8726</v>
      </c>
      <c r="F86">
        <v>776378230</v>
      </c>
      <c r="G86">
        <f t="shared" si="6"/>
        <v>29.155845527420837</v>
      </c>
      <c r="H86">
        <f t="shared" si="7"/>
        <v>28.467218225973909</v>
      </c>
      <c r="I86">
        <f t="shared" si="8"/>
        <v>20.470150369195736</v>
      </c>
      <c r="J86">
        <f t="shared" si="9"/>
        <v>7.9970678567781732</v>
      </c>
      <c r="K86">
        <v>1.4459199905395499</v>
      </c>
      <c r="L86">
        <v>95259</v>
      </c>
      <c r="M86">
        <f t="shared" si="10"/>
        <v>11.464354776714195</v>
      </c>
      <c r="N86" s="2">
        <v>0.67800000000000005</v>
      </c>
      <c r="O86">
        <v>-0.21839340031147</v>
      </c>
      <c r="P86">
        <v>-0.52630764245986905</v>
      </c>
    </row>
    <row r="87" spans="1:16" x14ac:dyDescent="0.25">
      <c r="A87" t="s">
        <v>37</v>
      </c>
      <c r="B87" s="1" t="s">
        <v>26</v>
      </c>
      <c r="C87">
        <v>2009</v>
      </c>
      <c r="D87">
        <v>5101691124285.2139</v>
      </c>
      <c r="E87">
        <v>2546750330809.8926</v>
      </c>
      <c r="F87">
        <v>775599063</v>
      </c>
      <c r="G87">
        <f t="shared" si="6"/>
        <v>29.260593193691122</v>
      </c>
      <c r="H87">
        <f t="shared" si="7"/>
        <v>28.565839282311501</v>
      </c>
      <c r="I87">
        <f t="shared" si="8"/>
        <v>20.469146273235083</v>
      </c>
      <c r="J87">
        <f t="shared" si="9"/>
        <v>8.096693009076418</v>
      </c>
      <c r="K87">
        <v>1.66480004787445</v>
      </c>
      <c r="L87">
        <v>85508</v>
      </c>
      <c r="M87">
        <f t="shared" si="10"/>
        <v>11.356365217799171</v>
      </c>
      <c r="N87" s="2">
        <v>0.68899999999999995</v>
      </c>
      <c r="O87">
        <v>-0.29809394478797901</v>
      </c>
      <c r="P87">
        <v>-0.51945662498474099</v>
      </c>
    </row>
    <row r="88" spans="1:16" x14ac:dyDescent="0.25">
      <c r="A88" t="s">
        <v>37</v>
      </c>
      <c r="B88" s="1" t="s">
        <v>26</v>
      </c>
      <c r="C88">
        <v>2010</v>
      </c>
      <c r="D88">
        <v>6087191746679.4893</v>
      </c>
      <c r="E88">
        <v>3109741632260.1069</v>
      </c>
      <c r="F88">
        <v>774058132</v>
      </c>
      <c r="G88">
        <f t="shared" si="6"/>
        <v>29.437207965959384</v>
      </c>
      <c r="H88">
        <f t="shared" si="7"/>
        <v>28.765560762224958</v>
      </c>
      <c r="I88">
        <f t="shared" si="8"/>
        <v>20.467157534676844</v>
      </c>
      <c r="J88">
        <f t="shared" si="9"/>
        <v>8.2984032275481141</v>
      </c>
      <c r="K88">
        <v>1.7137199640273999</v>
      </c>
      <c r="L88">
        <v>98111</v>
      </c>
      <c r="M88">
        <f t="shared" si="10"/>
        <v>11.493854769746406</v>
      </c>
      <c r="N88" s="2">
        <v>0.69799999999999995</v>
      </c>
      <c r="O88">
        <v>-0.32095497846603399</v>
      </c>
      <c r="P88">
        <v>-0.57000988721847501</v>
      </c>
    </row>
    <row r="89" spans="1:16" x14ac:dyDescent="0.25">
      <c r="A89" t="s">
        <v>37</v>
      </c>
      <c r="B89" s="1" t="s">
        <v>26</v>
      </c>
      <c r="C89">
        <v>2011</v>
      </c>
      <c r="D89">
        <v>7551545703440.7549</v>
      </c>
      <c r="E89">
        <v>3763743746731.583</v>
      </c>
      <c r="F89">
        <v>778323480</v>
      </c>
      <c r="G89">
        <f t="shared" si="6"/>
        <v>29.652773387167922</v>
      </c>
      <c r="H89">
        <f t="shared" si="7"/>
        <v>28.9564352552947</v>
      </c>
      <c r="I89">
        <f t="shared" si="8"/>
        <v>20.472652779790121</v>
      </c>
      <c r="J89">
        <f t="shared" si="9"/>
        <v>8.4837824755045794</v>
      </c>
      <c r="K89">
        <v>1.78033995628357</v>
      </c>
      <c r="L89">
        <v>110583</v>
      </c>
      <c r="M89">
        <f t="shared" si="10"/>
        <v>11.61352164920379</v>
      </c>
      <c r="N89" s="2">
        <v>0.70599999999999996</v>
      </c>
      <c r="O89">
        <v>-0.25913625955581698</v>
      </c>
      <c r="P89">
        <v>-0.51472759246826205</v>
      </c>
    </row>
    <row r="90" spans="1:16" x14ac:dyDescent="0.25">
      <c r="A90" t="s">
        <v>37</v>
      </c>
      <c r="B90" s="1" t="s">
        <v>26</v>
      </c>
      <c r="C90">
        <v>2012</v>
      </c>
      <c r="D90">
        <v>8532185381680.5928</v>
      </c>
      <c r="E90">
        <v>4168602805840.5664</v>
      </c>
      <c r="F90">
        <v>778937997</v>
      </c>
      <c r="G90">
        <f t="shared" si="6"/>
        <v>29.774866644112272</v>
      </c>
      <c r="H90">
        <f t="shared" si="7"/>
        <v>29.058602037043176</v>
      </c>
      <c r="I90">
        <f t="shared" si="8"/>
        <v>20.473442007599289</v>
      </c>
      <c r="J90">
        <f t="shared" si="9"/>
        <v>8.5851600294438875</v>
      </c>
      <c r="K90">
        <v>1.9121400117874101</v>
      </c>
      <c r="L90">
        <v>117464</v>
      </c>
      <c r="M90">
        <f t="shared" si="10"/>
        <v>11.673887182642774</v>
      </c>
      <c r="N90" s="2">
        <v>0.71499999999999997</v>
      </c>
      <c r="O90">
        <v>-0.28433284163474998</v>
      </c>
      <c r="P90">
        <v>-0.43827593326568598</v>
      </c>
    </row>
    <row r="91" spans="1:16" x14ac:dyDescent="0.25">
      <c r="A91" t="s">
        <v>37</v>
      </c>
      <c r="B91" s="1" t="s">
        <v>26</v>
      </c>
      <c r="C91">
        <v>2013</v>
      </c>
      <c r="D91">
        <v>9570471111831.6758</v>
      </c>
      <c r="E91">
        <v>4620896497490.7031</v>
      </c>
      <c r="F91">
        <v>779042510</v>
      </c>
      <c r="G91">
        <f t="shared" si="6"/>
        <v>29.889703548168345</v>
      </c>
      <c r="H91">
        <f t="shared" si="7"/>
        <v>29.161609849273407</v>
      </c>
      <c r="I91">
        <f t="shared" si="8"/>
        <v>20.473576172307624</v>
      </c>
      <c r="J91">
        <f t="shared" si="9"/>
        <v>8.6880336769657838</v>
      </c>
      <c r="K91">
        <v>1.9978599548339799</v>
      </c>
      <c r="L91">
        <v>120200</v>
      </c>
      <c r="M91">
        <f t="shared" si="10"/>
        <v>11.696912301083245</v>
      </c>
      <c r="N91" s="2">
        <v>0.72299999999999998</v>
      </c>
      <c r="O91">
        <v>-0.331608176231384</v>
      </c>
      <c r="P91">
        <v>-0.35578978061675998</v>
      </c>
    </row>
    <row r="92" spans="1:16" x14ac:dyDescent="0.25">
      <c r="A92" t="s">
        <v>37</v>
      </c>
      <c r="B92" s="1" t="s">
        <v>26</v>
      </c>
      <c r="C92">
        <v>2014</v>
      </c>
      <c r="D92">
        <v>10475624944355.225</v>
      </c>
      <c r="E92">
        <v>4973308912311.9092</v>
      </c>
      <c r="F92">
        <v>780062420</v>
      </c>
      <c r="G92">
        <f t="shared" si="6"/>
        <v>29.980072240516101</v>
      </c>
      <c r="H92">
        <f t="shared" si="7"/>
        <v>29.235106511630949</v>
      </c>
      <c r="I92">
        <f t="shared" si="8"/>
        <v>20.474884500087057</v>
      </c>
      <c r="J92">
        <f t="shared" si="9"/>
        <v>8.7602220115438918</v>
      </c>
      <c r="K92">
        <v>2.0224299430847199</v>
      </c>
      <c r="L92">
        <v>127042</v>
      </c>
      <c r="M92">
        <f t="shared" si="10"/>
        <v>11.75227301943009</v>
      </c>
      <c r="N92" s="2">
        <v>0.73199999999999998</v>
      </c>
      <c r="O92">
        <v>-0.33133441209793102</v>
      </c>
      <c r="P92">
        <v>-0.33742141723632801</v>
      </c>
    </row>
    <row r="93" spans="1:16" x14ac:dyDescent="0.25">
      <c r="A93" t="s">
        <v>37</v>
      </c>
      <c r="B93" s="1" t="s">
        <v>26</v>
      </c>
      <c r="C93">
        <v>2015</v>
      </c>
      <c r="D93">
        <v>11061572618578.693</v>
      </c>
      <c r="E93">
        <v>5089331066421.7969</v>
      </c>
      <c r="F93">
        <v>780709584</v>
      </c>
      <c r="G93">
        <f t="shared" si="6"/>
        <v>30.034498291659641</v>
      </c>
      <c r="H93">
        <f t="shared" si="7"/>
        <v>29.258167516719258</v>
      </c>
      <c r="I93">
        <f t="shared" si="8"/>
        <v>20.475713787177586</v>
      </c>
      <c r="J93">
        <f t="shared" si="9"/>
        <v>8.7824537295416718</v>
      </c>
      <c r="K93">
        <v>2.0570099353790301</v>
      </c>
      <c r="L93">
        <v>133612</v>
      </c>
      <c r="M93">
        <f t="shared" si="10"/>
        <v>11.802695356410357</v>
      </c>
      <c r="N93" s="2">
        <v>0.74099999999999999</v>
      </c>
      <c r="O93">
        <v>-0.35411745309829701</v>
      </c>
      <c r="P93">
        <v>-0.29967415332794201</v>
      </c>
    </row>
    <row r="94" spans="1:16" x14ac:dyDescent="0.25">
      <c r="A94" t="s">
        <v>37</v>
      </c>
      <c r="B94" s="1" t="s">
        <v>26</v>
      </c>
      <c r="C94">
        <v>2016</v>
      </c>
      <c r="D94">
        <v>11233313730348.719</v>
      </c>
      <c r="E94">
        <v>5050639672416.7041</v>
      </c>
      <c r="F94">
        <v>780524312</v>
      </c>
      <c r="G94">
        <f t="shared" si="6"/>
        <v>30.049904919544417</v>
      </c>
      <c r="H94">
        <f t="shared" si="7"/>
        <v>29.250536018999416</v>
      </c>
      <c r="I94">
        <f t="shared" si="8"/>
        <v>20.475476446697925</v>
      </c>
      <c r="J94">
        <f t="shared" si="9"/>
        <v>8.7750595723014904</v>
      </c>
      <c r="K94">
        <v>2.10033011436462</v>
      </c>
      <c r="L94">
        <v>133522</v>
      </c>
      <c r="M94">
        <f t="shared" si="10"/>
        <v>11.802021537252891</v>
      </c>
      <c r="N94" s="2">
        <v>0.749</v>
      </c>
      <c r="O94">
        <v>-0.31400173902511602</v>
      </c>
      <c r="P94">
        <v>-0.267868012189865</v>
      </c>
    </row>
    <row r="95" spans="1:16" x14ac:dyDescent="0.25">
      <c r="A95" t="s">
        <v>37</v>
      </c>
      <c r="B95" s="1" t="s">
        <v>26</v>
      </c>
      <c r="C95">
        <v>2017</v>
      </c>
      <c r="D95">
        <v>12310491333980.889</v>
      </c>
      <c r="E95">
        <v>5556019152639.7988</v>
      </c>
      <c r="F95">
        <v>778674707</v>
      </c>
      <c r="G95">
        <f t="shared" si="6"/>
        <v>30.141472968730575</v>
      </c>
      <c r="H95">
        <f t="shared" si="7"/>
        <v>29.345902988014092</v>
      </c>
      <c r="I95">
        <f t="shared" si="8"/>
        <v>20.473103938961518</v>
      </c>
      <c r="J95">
        <f t="shared" si="9"/>
        <v>8.8727990490525741</v>
      </c>
      <c r="K95">
        <v>2.1160299777984601</v>
      </c>
      <c r="L95">
        <v>135885</v>
      </c>
      <c r="M95">
        <f t="shared" si="10"/>
        <v>11.819564218771498</v>
      </c>
      <c r="N95" s="2">
        <v>0.75700000000000001</v>
      </c>
      <c r="O95">
        <v>-0.17930088937282601</v>
      </c>
      <c r="P95">
        <v>-0.29119056463241599</v>
      </c>
    </row>
    <row r="96" spans="1:16" x14ac:dyDescent="0.25">
      <c r="A96" t="s">
        <v>37</v>
      </c>
      <c r="B96" s="1" t="s">
        <v>26</v>
      </c>
      <c r="C96">
        <v>2018</v>
      </c>
      <c r="D96">
        <v>13894907857880.576</v>
      </c>
      <c r="E96">
        <v>6244692721839.0322</v>
      </c>
      <c r="F96">
        <v>776278514</v>
      </c>
      <c r="G96">
        <f t="shared" si="6"/>
        <v>30.262543547786208</v>
      </c>
      <c r="H96">
        <f t="shared" si="7"/>
        <v>29.462753054426688</v>
      </c>
      <c r="I96">
        <f t="shared" si="8"/>
        <v>20.470021923548593</v>
      </c>
      <c r="J96">
        <f t="shared" si="9"/>
        <v>8.9927311308780951</v>
      </c>
      <c r="K96">
        <v>2.1405799388885498</v>
      </c>
      <c r="L96">
        <v>148187</v>
      </c>
      <c r="M96">
        <f t="shared" si="10"/>
        <v>11.906230268698316</v>
      </c>
      <c r="N96" s="2">
        <v>0.76600000000000001</v>
      </c>
      <c r="O96">
        <v>-0.22858552634716001</v>
      </c>
      <c r="P96">
        <v>-0.286587774753571</v>
      </c>
    </row>
    <row r="97" spans="1:16" x14ac:dyDescent="0.25">
      <c r="A97" t="s">
        <v>37</v>
      </c>
      <c r="B97" s="1" t="s">
        <v>26</v>
      </c>
      <c r="C97">
        <v>2019</v>
      </c>
      <c r="D97">
        <v>14279968506271.727</v>
      </c>
      <c r="E97">
        <v>6280533918173.3506</v>
      </c>
      <c r="F97">
        <v>775321104</v>
      </c>
      <c r="G97">
        <f t="shared" si="6"/>
        <v>30.2898788673944</v>
      </c>
      <c r="H97">
        <f t="shared" si="7"/>
        <v>29.468476111612173</v>
      </c>
      <c r="I97">
        <f t="shared" si="8"/>
        <v>20.468787829249518</v>
      </c>
      <c r="J97">
        <f t="shared" si="9"/>
        <v>8.9996882823626549</v>
      </c>
      <c r="K97">
        <v>2.2446300983428999</v>
      </c>
      <c r="L97">
        <v>157093</v>
      </c>
      <c r="M97">
        <f t="shared" si="10"/>
        <v>11.964593265644373</v>
      </c>
      <c r="N97" s="2">
        <v>0.77500000000000002</v>
      </c>
      <c r="O97">
        <v>-0.304319977760315</v>
      </c>
      <c r="P97">
        <v>-0.31240507960319502</v>
      </c>
    </row>
    <row r="98" spans="1:16" x14ac:dyDescent="0.25">
      <c r="A98" t="s">
        <v>37</v>
      </c>
      <c r="B98" s="1" t="s">
        <v>26</v>
      </c>
      <c r="C98">
        <v>2020</v>
      </c>
      <c r="D98">
        <v>14687744162801.033</v>
      </c>
      <c r="E98">
        <v>6560949843213.0801</v>
      </c>
      <c r="F98">
        <v>763684716</v>
      </c>
      <c r="G98">
        <f t="shared" si="6"/>
        <v>30.318034531545035</v>
      </c>
      <c r="H98">
        <f t="shared" si="7"/>
        <v>29.512156501575753</v>
      </c>
      <c r="I98">
        <f t="shared" si="8"/>
        <v>20.453665586564203</v>
      </c>
      <c r="J98">
        <f t="shared" si="9"/>
        <v>9.05849091501155</v>
      </c>
      <c r="K98">
        <v>2.4066600799560498</v>
      </c>
      <c r="L98">
        <v>152342</v>
      </c>
      <c r="M98">
        <f t="shared" si="10"/>
        <v>11.933883272368893</v>
      </c>
      <c r="N98" s="2">
        <v>0.78100000000000003</v>
      </c>
      <c r="O98">
        <v>-0.20264337956905401</v>
      </c>
      <c r="P98">
        <v>-7.0956684648990603E-2</v>
      </c>
    </row>
    <row r="99" spans="1:16" x14ac:dyDescent="0.25">
      <c r="A99" t="s">
        <v>17</v>
      </c>
      <c r="B99" s="1" t="s">
        <v>85</v>
      </c>
      <c r="C99">
        <v>2005</v>
      </c>
      <c r="D99">
        <v>145600529605.80283</v>
      </c>
      <c r="E99">
        <v>26463815419.567062</v>
      </c>
      <c r="F99">
        <v>19268760</v>
      </c>
      <c r="G99">
        <f t="shared" si="6"/>
        <v>25.704132610104875</v>
      </c>
      <c r="H99">
        <f t="shared" si="7"/>
        <v>23.999044180988847</v>
      </c>
      <c r="I99">
        <f t="shared" si="8"/>
        <v>16.773995689591487</v>
      </c>
      <c r="J99">
        <f t="shared" si="9"/>
        <v>7.2250484913973594</v>
      </c>
      <c r="K99">
        <v>0.16557000577449801</v>
      </c>
      <c r="L99">
        <v>1662</v>
      </c>
      <c r="M99">
        <f t="shared" si="10"/>
        <v>7.4157769754153939</v>
      </c>
      <c r="N99" s="2">
        <v>0.70099999999999996</v>
      </c>
      <c r="O99">
        <v>-1.6363758593797701E-2</v>
      </c>
      <c r="P99">
        <v>-0.14538939297199199</v>
      </c>
    </row>
    <row r="100" spans="1:16" x14ac:dyDescent="0.25">
      <c r="A100" t="s">
        <v>17</v>
      </c>
      <c r="B100" s="1" t="s">
        <v>85</v>
      </c>
      <c r="C100">
        <v>2006</v>
      </c>
      <c r="D100">
        <v>161792958904.86404</v>
      </c>
      <c r="E100">
        <v>30343917453.334042</v>
      </c>
      <c r="F100">
        <v>19464939</v>
      </c>
      <c r="G100">
        <f t="shared" si="6"/>
        <v>25.809583323348644</v>
      </c>
      <c r="H100">
        <f t="shared" si="7"/>
        <v>24.135861920967262</v>
      </c>
      <c r="I100">
        <f t="shared" si="8"/>
        <v>16.78412540519183</v>
      </c>
      <c r="J100">
        <f t="shared" si="9"/>
        <v>7.351736515775432</v>
      </c>
      <c r="K100">
        <v>0.164269998669624</v>
      </c>
      <c r="L100">
        <v>1861</v>
      </c>
      <c r="M100">
        <f t="shared" si="10"/>
        <v>7.5288692566422508</v>
      </c>
      <c r="N100" s="2">
        <v>0.70299999999999996</v>
      </c>
      <c r="O100">
        <v>0.106225542724133</v>
      </c>
      <c r="P100">
        <v>-0.17513778805732699</v>
      </c>
    </row>
    <row r="101" spans="1:16" x14ac:dyDescent="0.25">
      <c r="A101" t="s">
        <v>17</v>
      </c>
      <c r="B101" s="1" t="s">
        <v>85</v>
      </c>
      <c r="C101">
        <v>2007</v>
      </c>
      <c r="D101">
        <v>206229540926.31125</v>
      </c>
      <c r="E101">
        <v>39640757347.473282</v>
      </c>
      <c r="F101">
        <v>19653416</v>
      </c>
      <c r="G101">
        <f t="shared" si="6"/>
        <v>26.052255661732207</v>
      </c>
      <c r="H101">
        <f t="shared" si="7"/>
        <v>24.403123651863257</v>
      </c>
      <c r="I101">
        <f t="shared" si="8"/>
        <v>16.793761723409919</v>
      </c>
      <c r="J101">
        <f t="shared" si="9"/>
        <v>7.6093619284533389</v>
      </c>
      <c r="K101">
        <v>0.183070003986359</v>
      </c>
      <c r="L101">
        <v>1862</v>
      </c>
      <c r="M101">
        <f t="shared" si="10"/>
        <v>7.5294064578370126</v>
      </c>
      <c r="N101" s="2">
        <v>0.71499999999999997</v>
      </c>
      <c r="O101">
        <v>0.28426253795623802</v>
      </c>
      <c r="P101">
        <v>-0.27916035056114202</v>
      </c>
    </row>
    <row r="102" spans="1:16" x14ac:dyDescent="0.25">
      <c r="A102" t="s">
        <v>17</v>
      </c>
      <c r="B102" s="1" t="s">
        <v>85</v>
      </c>
      <c r="C102">
        <v>2008</v>
      </c>
      <c r="D102">
        <v>242504150472.93076</v>
      </c>
      <c r="E102">
        <v>50374083238.449722</v>
      </c>
      <c r="F102">
        <v>20141224</v>
      </c>
      <c r="G102">
        <f t="shared" si="6"/>
        <v>26.214284662529774</v>
      </c>
      <c r="H102">
        <f t="shared" si="7"/>
        <v>24.642742658307206</v>
      </c>
      <c r="I102">
        <f t="shared" si="8"/>
        <v>16.818279217985946</v>
      </c>
      <c r="J102">
        <f t="shared" si="9"/>
        <v>7.8244634403212601</v>
      </c>
      <c r="K102">
        <v>0.19540999829769101</v>
      </c>
      <c r="L102">
        <v>1818</v>
      </c>
      <c r="M102">
        <f t="shared" si="10"/>
        <v>7.5054922747374242</v>
      </c>
      <c r="N102" s="2">
        <v>0.72199999999999998</v>
      </c>
      <c r="O102">
        <v>0.27238997817039501</v>
      </c>
      <c r="P102">
        <v>-0.261542618274689</v>
      </c>
    </row>
    <row r="103" spans="1:16" x14ac:dyDescent="0.25">
      <c r="A103" t="s">
        <v>17</v>
      </c>
      <c r="B103" s="1" t="s">
        <v>85</v>
      </c>
      <c r="C103">
        <v>2009</v>
      </c>
      <c r="D103">
        <v>232468663109.59418</v>
      </c>
      <c r="E103">
        <v>45750869608.221466</v>
      </c>
      <c r="F103">
        <v>21438903</v>
      </c>
      <c r="G103">
        <f t="shared" si="6"/>
        <v>26.172021270565541</v>
      </c>
      <c r="H103">
        <f t="shared" si="7"/>
        <v>24.546476636317273</v>
      </c>
      <c r="I103">
        <f t="shared" si="8"/>
        <v>16.880717726813071</v>
      </c>
      <c r="J103">
        <f t="shared" si="9"/>
        <v>7.665758909504202</v>
      </c>
      <c r="K103">
        <v>0.193509995937347</v>
      </c>
      <c r="L103">
        <v>1551</v>
      </c>
      <c r="M103">
        <f t="shared" si="10"/>
        <v>7.3466551631765391</v>
      </c>
      <c r="N103" s="2">
        <v>0.72799999999999998</v>
      </c>
      <c r="O103">
        <v>8.8281720876693698E-2</v>
      </c>
      <c r="P103">
        <v>-0.337012529373169</v>
      </c>
    </row>
    <row r="104" spans="1:16" x14ac:dyDescent="0.25">
      <c r="A104" t="s">
        <v>17</v>
      </c>
      <c r="B104" s="1" t="s">
        <v>85</v>
      </c>
      <c r="C104">
        <v>2010</v>
      </c>
      <c r="D104">
        <v>286498534094.96277</v>
      </c>
      <c r="E104">
        <v>58175958630.803391</v>
      </c>
      <c r="F104">
        <v>21906084</v>
      </c>
      <c r="G104">
        <f t="shared" si="6"/>
        <v>26.380999256491126</v>
      </c>
      <c r="H104">
        <f t="shared" si="7"/>
        <v>24.786738024396996</v>
      </c>
      <c r="I104">
        <f t="shared" si="8"/>
        <v>16.90227496442435</v>
      </c>
      <c r="J104">
        <f t="shared" si="9"/>
        <v>7.8844630599726457</v>
      </c>
      <c r="K104">
        <v>0.193580001592636</v>
      </c>
      <c r="L104">
        <v>1739</v>
      </c>
      <c r="M104">
        <f t="shared" si="10"/>
        <v>7.4610655143542832</v>
      </c>
      <c r="N104" s="2">
        <v>0.73199999999999998</v>
      </c>
      <c r="O104">
        <v>0.15725393593311299</v>
      </c>
      <c r="P104">
        <v>-0.42333310842513999</v>
      </c>
    </row>
    <row r="105" spans="1:16" x14ac:dyDescent="0.25">
      <c r="A105" t="s">
        <v>17</v>
      </c>
      <c r="B105" s="1" t="s">
        <v>85</v>
      </c>
      <c r="C105">
        <v>2011</v>
      </c>
      <c r="D105">
        <v>334966134804.88702</v>
      </c>
      <c r="E105">
        <v>73954419589.658386</v>
      </c>
      <c r="F105">
        <v>22469752</v>
      </c>
      <c r="G105">
        <f t="shared" si="6"/>
        <v>26.537295273526858</v>
      </c>
      <c r="H105">
        <f t="shared" si="7"/>
        <v>25.026714788883424</v>
      </c>
      <c r="I105">
        <f t="shared" si="8"/>
        <v>16.927680607162465</v>
      </c>
      <c r="J105">
        <f t="shared" si="9"/>
        <v>8.0990341817209597</v>
      </c>
      <c r="K105">
        <v>0.19842000305652599</v>
      </c>
      <c r="L105">
        <v>1770</v>
      </c>
      <c r="M105">
        <f t="shared" si="10"/>
        <v>7.4787348255678747</v>
      </c>
      <c r="N105" s="2">
        <v>0.73799999999999999</v>
      </c>
      <c r="O105">
        <v>0.27960145473480202</v>
      </c>
      <c r="P105">
        <v>-0.31752768158912698</v>
      </c>
    </row>
    <row r="106" spans="1:16" x14ac:dyDescent="0.25">
      <c r="A106" t="s">
        <v>17</v>
      </c>
      <c r="B106" s="1" t="s">
        <v>85</v>
      </c>
      <c r="C106">
        <v>2012</v>
      </c>
      <c r="D106">
        <v>370691143018.03864</v>
      </c>
      <c r="E106">
        <v>77444436293.526566</v>
      </c>
      <c r="F106">
        <v>23071179</v>
      </c>
      <c r="G106">
        <f t="shared" si="6"/>
        <v>26.638635054230772</v>
      </c>
      <c r="H106">
        <f t="shared" si="7"/>
        <v>25.072826565122128</v>
      </c>
      <c r="I106">
        <f t="shared" si="8"/>
        <v>16.954094734175705</v>
      </c>
      <c r="J106">
        <f t="shared" si="9"/>
        <v>8.1187318309464231</v>
      </c>
      <c r="K106">
        <v>0.22115999460220301</v>
      </c>
      <c r="L106">
        <v>1848</v>
      </c>
      <c r="M106">
        <f t="shared" si="10"/>
        <v>7.5218592522016294</v>
      </c>
      <c r="N106" s="2">
        <v>0.73899999999999999</v>
      </c>
      <c r="O106">
        <v>0.32659468054771401</v>
      </c>
      <c r="P106">
        <v>-0.42229834198951699</v>
      </c>
    </row>
    <row r="107" spans="1:16" x14ac:dyDescent="0.25">
      <c r="A107" t="s">
        <v>17</v>
      </c>
      <c r="B107" s="1" t="s">
        <v>85</v>
      </c>
      <c r="C107">
        <v>2013</v>
      </c>
      <c r="D107">
        <v>382093697077.68494</v>
      </c>
      <c r="E107">
        <v>77827807340.701324</v>
      </c>
      <c r="F107">
        <v>23198264</v>
      </c>
      <c r="G107">
        <f t="shared" si="6"/>
        <v>26.668931695784764</v>
      </c>
      <c r="H107">
        <f t="shared" si="7"/>
        <v>25.077764625102784</v>
      </c>
      <c r="I107">
        <f t="shared" si="8"/>
        <v>16.959588006250609</v>
      </c>
      <c r="J107">
        <f t="shared" si="9"/>
        <v>8.1181766188521749</v>
      </c>
      <c r="K107">
        <v>0.257609993219376</v>
      </c>
      <c r="L107">
        <v>1781</v>
      </c>
      <c r="M107">
        <f t="shared" si="10"/>
        <v>7.4849302832896614</v>
      </c>
      <c r="N107" s="2">
        <v>0.75</v>
      </c>
      <c r="O107">
        <v>0.339824229478836</v>
      </c>
      <c r="P107">
        <v>-0.441052585840225</v>
      </c>
    </row>
    <row r="108" spans="1:16" x14ac:dyDescent="0.25">
      <c r="A108" t="s">
        <v>17</v>
      </c>
      <c r="B108" s="1" t="s">
        <v>85</v>
      </c>
      <c r="C108">
        <v>2014</v>
      </c>
      <c r="D108">
        <v>381240864422.40613</v>
      </c>
      <c r="E108">
        <v>75429825021.675018</v>
      </c>
      <c r="F108">
        <v>23488075</v>
      </c>
      <c r="G108">
        <f t="shared" si="6"/>
        <v>26.666697202410198</v>
      </c>
      <c r="H108">
        <f t="shared" si="7"/>
        <v>25.046468591064794</v>
      </c>
      <c r="I108">
        <f t="shared" si="8"/>
        <v>16.972003403511174</v>
      </c>
      <c r="J108">
        <f t="shared" si="9"/>
        <v>8.0744651875536206</v>
      </c>
      <c r="K108">
        <v>0.303169995546341</v>
      </c>
      <c r="L108">
        <v>1898</v>
      </c>
      <c r="M108">
        <f t="shared" si="10"/>
        <v>7.5485559791698735</v>
      </c>
      <c r="N108" s="2">
        <v>0.755</v>
      </c>
      <c r="O108">
        <v>0.44441202282905601</v>
      </c>
      <c r="P108">
        <v>-0.397179245948792</v>
      </c>
    </row>
    <row r="109" spans="1:16" x14ac:dyDescent="0.25">
      <c r="A109" t="s">
        <v>17</v>
      </c>
      <c r="B109" s="1" t="s">
        <v>85</v>
      </c>
      <c r="C109">
        <v>2015</v>
      </c>
      <c r="D109">
        <v>293492370193.16571</v>
      </c>
      <c r="E109">
        <v>49052410561.617119</v>
      </c>
      <c r="F109">
        <v>23882464</v>
      </c>
      <c r="G109">
        <f t="shared" si="6"/>
        <v>26.405117479941964</v>
      </c>
      <c r="H109">
        <f t="shared" si="7"/>
        <v>24.616155166737304</v>
      </c>
      <c r="I109">
        <f t="shared" si="8"/>
        <v>16.988655023745284</v>
      </c>
      <c r="J109">
        <f t="shared" si="9"/>
        <v>7.6275001429920195</v>
      </c>
      <c r="K109">
        <v>0.36542001366615301</v>
      </c>
      <c r="L109">
        <v>1921</v>
      </c>
      <c r="M109">
        <f t="shared" si="10"/>
        <v>7.560601162768557</v>
      </c>
      <c r="N109" s="2">
        <v>0.75800000000000001</v>
      </c>
      <c r="O109">
        <v>0.40771973133087203</v>
      </c>
      <c r="P109">
        <v>-0.35223966836929299</v>
      </c>
    </row>
    <row r="110" spans="1:16" x14ac:dyDescent="0.25">
      <c r="A110" t="s">
        <v>17</v>
      </c>
      <c r="B110" s="1" t="s">
        <v>85</v>
      </c>
      <c r="C110">
        <v>2016</v>
      </c>
      <c r="D110">
        <v>282720100286.22784</v>
      </c>
      <c r="E110">
        <v>46363396835.942986</v>
      </c>
      <c r="F110">
        <v>24079276</v>
      </c>
      <c r="G110">
        <f t="shared" si="6"/>
        <v>26.367723200236991</v>
      </c>
      <c r="H110">
        <f t="shared" si="7"/>
        <v>24.559776123569485</v>
      </c>
      <c r="I110">
        <f t="shared" si="8"/>
        <v>16.996862111507706</v>
      </c>
      <c r="J110">
        <f t="shared" si="9"/>
        <v>7.5629140120617784</v>
      </c>
      <c r="K110">
        <v>0.27050998806953402</v>
      </c>
      <c r="L110">
        <v>1658</v>
      </c>
      <c r="M110">
        <f t="shared" si="10"/>
        <v>7.4133673356952405</v>
      </c>
      <c r="N110" s="2">
        <v>0.76300000000000001</v>
      </c>
      <c r="O110">
        <v>0.339025348424912</v>
      </c>
      <c r="P110">
        <v>-0.38403263688087502</v>
      </c>
    </row>
    <row r="111" spans="1:16" x14ac:dyDescent="0.25">
      <c r="A111" t="s">
        <v>17</v>
      </c>
      <c r="B111" s="1" t="s">
        <v>85</v>
      </c>
      <c r="C111">
        <v>2017</v>
      </c>
      <c r="D111">
        <v>311866875156.87885</v>
      </c>
      <c r="E111">
        <v>51791861054.944382</v>
      </c>
      <c r="F111">
        <v>24461484</v>
      </c>
      <c r="G111">
        <f t="shared" si="6"/>
        <v>26.465842251511656</v>
      </c>
      <c r="H111">
        <f t="shared" si="7"/>
        <v>24.670498851375395</v>
      </c>
      <c r="I111">
        <f t="shared" si="8"/>
        <v>17.012610356865341</v>
      </c>
      <c r="J111">
        <f t="shared" si="9"/>
        <v>7.657888494510054</v>
      </c>
      <c r="K111">
        <v>0.26109001040458701</v>
      </c>
      <c r="L111">
        <v>1777</v>
      </c>
      <c r="M111">
        <f t="shared" si="10"/>
        <v>7.482681828154651</v>
      </c>
      <c r="N111" s="2">
        <v>0.76500000000000001</v>
      </c>
      <c r="O111">
        <v>0.257449120283127</v>
      </c>
      <c r="P111">
        <v>-0.42944523692130998</v>
      </c>
    </row>
    <row r="112" spans="1:16" x14ac:dyDescent="0.25">
      <c r="A112" t="s">
        <v>17</v>
      </c>
      <c r="B112" s="1" t="s">
        <v>85</v>
      </c>
      <c r="C112">
        <v>2018</v>
      </c>
      <c r="D112">
        <v>334198218098.27557</v>
      </c>
      <c r="E112">
        <v>55009568498.836845</v>
      </c>
      <c r="F112">
        <v>24812159</v>
      </c>
      <c r="G112">
        <f t="shared" si="6"/>
        <v>26.535000121251109</v>
      </c>
      <c r="H112">
        <f t="shared" si="7"/>
        <v>24.73077297975351</v>
      </c>
      <c r="I112">
        <f t="shared" si="8"/>
        <v>17.026844373244199</v>
      </c>
      <c r="J112">
        <f t="shared" si="9"/>
        <v>7.7039286065093115</v>
      </c>
      <c r="K112">
        <v>0.31233000755310097</v>
      </c>
      <c r="L112">
        <v>1808</v>
      </c>
      <c r="M112">
        <f t="shared" si="10"/>
        <v>7.4999765409521215</v>
      </c>
      <c r="N112" s="2">
        <v>0.76600000000000001</v>
      </c>
      <c r="O112">
        <v>0.22488917410373699</v>
      </c>
      <c r="P112">
        <v>-0.33997064828872697</v>
      </c>
    </row>
    <row r="113" spans="1:16" x14ac:dyDescent="0.25">
      <c r="A113" t="s">
        <v>17</v>
      </c>
      <c r="B113" s="1" t="s">
        <v>85</v>
      </c>
      <c r="C113">
        <v>2019</v>
      </c>
      <c r="D113">
        <v>323031701192.83997</v>
      </c>
      <c r="E113">
        <v>50257765900.519135</v>
      </c>
      <c r="F113">
        <v>25072923</v>
      </c>
      <c r="G113">
        <f t="shared" si="6"/>
        <v>26.501016301460918</v>
      </c>
      <c r="H113">
        <f t="shared" si="7"/>
        <v>24.640430917228667</v>
      </c>
      <c r="I113">
        <f t="shared" si="8"/>
        <v>17.037299056876073</v>
      </c>
      <c r="J113">
        <f t="shared" si="9"/>
        <v>7.6031318603525939</v>
      </c>
      <c r="K113">
        <v>0.32201001048088101</v>
      </c>
      <c r="L113">
        <v>1735</v>
      </c>
      <c r="M113">
        <f t="shared" si="10"/>
        <v>7.4587626923809598</v>
      </c>
      <c r="N113" s="2">
        <v>0.76800000000000002</v>
      </c>
      <c r="O113">
        <v>0.31791093945503202</v>
      </c>
      <c r="P113">
        <v>-0.28315719962120101</v>
      </c>
    </row>
    <row r="114" spans="1:16" x14ac:dyDescent="0.25">
      <c r="A114" t="s">
        <v>17</v>
      </c>
      <c r="B114" s="1" t="s">
        <v>85</v>
      </c>
      <c r="C114">
        <v>2020</v>
      </c>
      <c r="D114">
        <v>270348342541.46512</v>
      </c>
      <c r="E114">
        <v>32758452244.20285</v>
      </c>
      <c r="F114">
        <v>25219253</v>
      </c>
      <c r="G114">
        <f t="shared" si="6"/>
        <v>26.322977121967636</v>
      </c>
      <c r="H114">
        <f t="shared" si="7"/>
        <v>24.212426849522231</v>
      </c>
      <c r="I114">
        <f t="shared" si="8"/>
        <v>17.043118268712664</v>
      </c>
      <c r="J114">
        <f t="shared" si="9"/>
        <v>7.1693085808095667</v>
      </c>
      <c r="K114">
        <v>0.28960999846458402</v>
      </c>
      <c r="L114">
        <v>1752</v>
      </c>
      <c r="M114">
        <f t="shared" si="10"/>
        <v>7.4685132714963371</v>
      </c>
      <c r="N114" s="2">
        <v>0.75600000000000001</v>
      </c>
      <c r="O114">
        <v>0.225666418671608</v>
      </c>
      <c r="P114">
        <v>-0.251915633678436</v>
      </c>
    </row>
    <row r="115" spans="1:16" x14ac:dyDescent="0.25">
      <c r="A115" t="s">
        <v>7</v>
      </c>
      <c r="B115" s="1" t="s">
        <v>20</v>
      </c>
      <c r="C115">
        <v>2006</v>
      </c>
      <c r="D115">
        <v>22715540324.694378</v>
      </c>
      <c r="E115">
        <v>4065890252.9095354</v>
      </c>
      <c r="F115">
        <v>1943618</v>
      </c>
      <c r="G115">
        <f t="shared" ref="G115:G162" si="11">LN(D115)</f>
        <v>23.846315123006473</v>
      </c>
      <c r="H115">
        <f t="shared" ref="H115:H162" si="12">LN(E115)</f>
        <v>22.125898560374011</v>
      </c>
      <c r="I115">
        <f t="shared" ref="I115:I162" si="13">LN(F115)</f>
        <v>14.480061742635849</v>
      </c>
      <c r="J115">
        <f t="shared" ref="J115:J162" si="14">H115-I115</f>
        <v>7.6458368177381626</v>
      </c>
      <c r="K115">
        <v>0.42693001031875599</v>
      </c>
      <c r="L115">
        <v>571</v>
      </c>
      <c r="M115">
        <f t="shared" ref="M115:M162" si="15">LN(L115)</f>
        <v>6.3473892096560105</v>
      </c>
      <c r="N115" s="2">
        <v>0.745</v>
      </c>
      <c r="O115">
        <v>0.38212338089942899</v>
      </c>
      <c r="P115">
        <v>0.37865132093429599</v>
      </c>
    </row>
    <row r="116" spans="1:16" x14ac:dyDescent="0.25">
      <c r="A116" t="s">
        <v>7</v>
      </c>
      <c r="B116" s="1" t="s">
        <v>20</v>
      </c>
      <c r="C116">
        <v>2007</v>
      </c>
      <c r="D116">
        <v>26884700344.840603</v>
      </c>
      <c r="E116">
        <v>4837753272.9854212</v>
      </c>
      <c r="F116">
        <v>2012372</v>
      </c>
      <c r="G116">
        <f t="shared" si="11"/>
        <v>24.014823201333797</v>
      </c>
      <c r="H116">
        <f t="shared" si="12"/>
        <v>22.299716250104471</v>
      </c>
      <c r="I116">
        <f t="shared" si="13"/>
        <v>14.51482468376766</v>
      </c>
      <c r="J116">
        <f t="shared" si="14"/>
        <v>7.7848915663368103</v>
      </c>
      <c r="K116">
        <v>0.35655000805854797</v>
      </c>
      <c r="L116">
        <v>647</v>
      </c>
      <c r="M116">
        <f t="shared" si="15"/>
        <v>6.4723462945009009</v>
      </c>
      <c r="N116" s="2">
        <v>0.754</v>
      </c>
      <c r="O116">
        <v>0.45015689730644198</v>
      </c>
      <c r="P116">
        <v>0.45711502432823198</v>
      </c>
    </row>
    <row r="117" spans="1:16" x14ac:dyDescent="0.25">
      <c r="A117" t="s">
        <v>7</v>
      </c>
      <c r="B117" s="1" t="s">
        <v>20</v>
      </c>
      <c r="C117">
        <v>2008</v>
      </c>
      <c r="D117">
        <v>30801744881.950214</v>
      </c>
      <c r="E117">
        <v>4873497872.4358444</v>
      </c>
      <c r="F117">
        <v>2037739</v>
      </c>
      <c r="G117">
        <f t="shared" si="11"/>
        <v>24.150837177332647</v>
      </c>
      <c r="H117">
        <f t="shared" si="12"/>
        <v>22.307077765183703</v>
      </c>
      <c r="I117">
        <f t="shared" si="13"/>
        <v>14.527351417831472</v>
      </c>
      <c r="J117">
        <f t="shared" si="14"/>
        <v>7.7797263473522307</v>
      </c>
      <c r="K117">
        <v>0.38593000173568698</v>
      </c>
      <c r="L117">
        <v>774</v>
      </c>
      <c r="M117">
        <f t="shared" si="15"/>
        <v>6.6515718735897273</v>
      </c>
      <c r="N117" s="2">
        <v>0.76200000000000001</v>
      </c>
      <c r="O117">
        <v>0.56618762016296398</v>
      </c>
      <c r="P117">
        <v>0.49320897459983798</v>
      </c>
    </row>
    <row r="118" spans="1:16" x14ac:dyDescent="0.25">
      <c r="A118" t="s">
        <v>7</v>
      </c>
      <c r="B118" s="1" t="s">
        <v>20</v>
      </c>
      <c r="C118">
        <v>2009</v>
      </c>
      <c r="D118">
        <v>30745714312.990532</v>
      </c>
      <c r="E118">
        <v>5521378689.9765625</v>
      </c>
      <c r="F118">
        <v>2064610</v>
      </c>
      <c r="G118">
        <f t="shared" si="11"/>
        <v>24.149016449550501</v>
      </c>
      <c r="H118">
        <f t="shared" si="12"/>
        <v>22.431893428726823</v>
      </c>
      <c r="I118">
        <f t="shared" si="13"/>
        <v>14.540451904555127</v>
      </c>
      <c r="J118">
        <f t="shared" si="14"/>
        <v>7.8914415241716966</v>
      </c>
      <c r="K118">
        <v>0.51718002557754505</v>
      </c>
      <c r="L118">
        <v>507</v>
      </c>
      <c r="M118">
        <f t="shared" si="15"/>
        <v>6.2285110035911835</v>
      </c>
      <c r="N118" s="2">
        <v>0.76500000000000001</v>
      </c>
      <c r="O118">
        <v>0.51818436384201105</v>
      </c>
      <c r="P118">
        <v>0.71547013521194502</v>
      </c>
    </row>
    <row r="119" spans="1:16" x14ac:dyDescent="0.25">
      <c r="A119" t="s">
        <v>7</v>
      </c>
      <c r="B119" s="1" t="s">
        <v>20</v>
      </c>
      <c r="C119">
        <v>2010</v>
      </c>
      <c r="D119">
        <v>37658614803.848015</v>
      </c>
      <c r="E119">
        <v>6771264299.5495682</v>
      </c>
      <c r="F119">
        <v>2060686</v>
      </c>
      <c r="G119">
        <f t="shared" si="11"/>
        <v>24.351827577869855</v>
      </c>
      <c r="H119">
        <f t="shared" si="12"/>
        <v>22.635953656737669</v>
      </c>
      <c r="I119">
        <f t="shared" si="13"/>
        <v>14.538549495039076</v>
      </c>
      <c r="J119">
        <f t="shared" si="14"/>
        <v>8.0974041616985932</v>
      </c>
      <c r="K119">
        <v>0.479900002479553</v>
      </c>
      <c r="L119">
        <v>606</v>
      </c>
      <c r="M119">
        <f t="shared" si="15"/>
        <v>6.4068799860693142</v>
      </c>
      <c r="N119" s="2">
        <v>0.76900000000000002</v>
      </c>
      <c r="O119">
        <v>0.58602702617645297</v>
      </c>
      <c r="P119">
        <v>0.66439163684845004</v>
      </c>
    </row>
    <row r="120" spans="1:16" x14ac:dyDescent="0.25">
      <c r="A120" t="s">
        <v>7</v>
      </c>
      <c r="B120" s="1" t="s">
        <v>20</v>
      </c>
      <c r="C120">
        <v>2011</v>
      </c>
      <c r="D120">
        <v>42762613699.952362</v>
      </c>
      <c r="E120">
        <v>6993387088.2386303</v>
      </c>
      <c r="F120">
        <v>2149242</v>
      </c>
      <c r="G120">
        <f t="shared" si="11"/>
        <v>24.47893004611716</v>
      </c>
      <c r="H120">
        <f t="shared" si="12"/>
        <v>22.668230837809659</v>
      </c>
      <c r="I120">
        <f t="shared" si="13"/>
        <v>14.580625779801078</v>
      </c>
      <c r="J120">
        <f t="shared" si="14"/>
        <v>8.087605058008581</v>
      </c>
      <c r="K120">
        <v>0.46235001087188698</v>
      </c>
      <c r="L120">
        <v>610</v>
      </c>
      <c r="M120">
        <f t="shared" si="15"/>
        <v>6.4134589571673573</v>
      </c>
      <c r="N120" s="2">
        <v>0.77800000000000002</v>
      </c>
      <c r="O120">
        <v>0.59626090526580799</v>
      </c>
      <c r="P120">
        <v>0.59317356348037698</v>
      </c>
    </row>
    <row r="121" spans="1:16" x14ac:dyDescent="0.25">
      <c r="A121" t="s">
        <v>7</v>
      </c>
      <c r="B121" s="1" t="s">
        <v>20</v>
      </c>
      <c r="C121">
        <v>2012</v>
      </c>
      <c r="D121">
        <v>47231655431.138916</v>
      </c>
      <c r="E121">
        <v>7608212445.40347</v>
      </c>
      <c r="F121">
        <v>2321866</v>
      </c>
      <c r="G121">
        <f t="shared" si="11"/>
        <v>24.578330170655999</v>
      </c>
      <c r="H121">
        <f t="shared" si="12"/>
        <v>22.752494085748566</v>
      </c>
      <c r="I121">
        <f t="shared" si="13"/>
        <v>14.657881730703091</v>
      </c>
      <c r="J121">
        <f t="shared" si="14"/>
        <v>8.0946123550454754</v>
      </c>
      <c r="K121">
        <v>0.54712998867034901</v>
      </c>
      <c r="L121">
        <v>578</v>
      </c>
      <c r="M121">
        <f t="shared" si="15"/>
        <v>6.3595738686723777</v>
      </c>
      <c r="N121" s="2">
        <v>0.78200000000000003</v>
      </c>
      <c r="O121">
        <v>0.74363106489181496</v>
      </c>
      <c r="P121">
        <v>0.570753693580627</v>
      </c>
    </row>
    <row r="122" spans="1:16" x14ac:dyDescent="0.25">
      <c r="A122" t="s">
        <v>7</v>
      </c>
      <c r="B122" s="1" t="s">
        <v>20</v>
      </c>
      <c r="C122">
        <v>2013</v>
      </c>
      <c r="D122">
        <v>50949668840.869232</v>
      </c>
      <c r="E122">
        <v>8512338628.9221792</v>
      </c>
      <c r="F122">
        <v>2337155</v>
      </c>
      <c r="G122">
        <f t="shared" si="11"/>
        <v>24.654104096905488</v>
      </c>
      <c r="H122">
        <f t="shared" si="12"/>
        <v>22.864782551287547</v>
      </c>
      <c r="I122">
        <f t="shared" si="13"/>
        <v>14.664444935669087</v>
      </c>
      <c r="J122">
        <f t="shared" si="14"/>
        <v>8.2003376156184604</v>
      </c>
      <c r="K122">
        <v>0.54253000020980802</v>
      </c>
      <c r="L122">
        <v>580</v>
      </c>
      <c r="M122">
        <f t="shared" si="15"/>
        <v>6.363028103540465</v>
      </c>
      <c r="N122" s="2">
        <v>0.78700000000000003</v>
      </c>
      <c r="O122">
        <v>0.74727374315261796</v>
      </c>
      <c r="P122">
        <v>0.57755267620086703</v>
      </c>
    </row>
    <row r="123" spans="1:16" x14ac:dyDescent="0.25">
      <c r="A123" t="s">
        <v>7</v>
      </c>
      <c r="B123" s="1" t="s">
        <v>20</v>
      </c>
      <c r="C123">
        <v>2014</v>
      </c>
      <c r="D123">
        <v>52016408951.822464</v>
      </c>
      <c r="E123">
        <v>8716775508.9378529</v>
      </c>
      <c r="F123">
        <v>2395003</v>
      </c>
      <c r="G123">
        <f t="shared" si="11"/>
        <v>24.674825062516092</v>
      </c>
      <c r="H123">
        <f t="shared" si="12"/>
        <v>22.888515225396308</v>
      </c>
      <c r="I123">
        <f t="shared" si="13"/>
        <v>14.688895041435972</v>
      </c>
      <c r="J123">
        <f t="shared" si="14"/>
        <v>8.1996201839603362</v>
      </c>
      <c r="K123">
        <v>0.55627000331878695</v>
      </c>
      <c r="L123">
        <v>529</v>
      </c>
      <c r="M123">
        <f t="shared" si="15"/>
        <v>6.2709884318582994</v>
      </c>
      <c r="N123" s="2">
        <v>0.79</v>
      </c>
      <c r="O123">
        <v>0.65642625093460105</v>
      </c>
      <c r="P123">
        <v>0.72567009925842296</v>
      </c>
    </row>
    <row r="124" spans="1:16" x14ac:dyDescent="0.25">
      <c r="A124" t="s">
        <v>7</v>
      </c>
      <c r="B124" s="1" t="s">
        <v>20</v>
      </c>
      <c r="C124">
        <v>2015</v>
      </c>
      <c r="D124">
        <v>56441920821.080627</v>
      </c>
      <c r="E124">
        <v>10211178948.102119</v>
      </c>
      <c r="F124">
        <v>2380187</v>
      </c>
      <c r="G124">
        <f t="shared" si="11"/>
        <v>24.756477996326414</v>
      </c>
      <c r="H124">
        <f t="shared" si="12"/>
        <v>23.046748932398287</v>
      </c>
      <c r="I124">
        <f t="shared" si="13"/>
        <v>14.682689613989655</v>
      </c>
      <c r="J124">
        <f t="shared" si="14"/>
        <v>8.364059318408632</v>
      </c>
      <c r="K124">
        <v>0.43665000796318099</v>
      </c>
      <c r="L124">
        <v>582</v>
      </c>
      <c r="M124">
        <f t="shared" si="15"/>
        <v>6.3664704477314382</v>
      </c>
      <c r="N124" s="2">
        <v>0.79200000000000004</v>
      </c>
      <c r="O124">
        <v>0.66446614265441895</v>
      </c>
      <c r="P124">
        <v>0.68730425834655795</v>
      </c>
    </row>
    <row r="125" spans="1:16" x14ac:dyDescent="0.25">
      <c r="A125" t="s">
        <v>7</v>
      </c>
      <c r="B125" s="1" t="s">
        <v>20</v>
      </c>
      <c r="C125">
        <v>2016</v>
      </c>
      <c r="D125">
        <v>58847019609.6549</v>
      </c>
      <c r="E125">
        <v>11316667555.991047</v>
      </c>
      <c r="F125">
        <v>2296246</v>
      </c>
      <c r="G125">
        <f t="shared" si="11"/>
        <v>24.798207025524118</v>
      </c>
      <c r="H125">
        <f t="shared" si="12"/>
        <v>23.149542480868369</v>
      </c>
      <c r="I125">
        <f t="shared" si="13"/>
        <v>14.646786173539351</v>
      </c>
      <c r="J125">
        <f t="shared" si="14"/>
        <v>8.5027563073290189</v>
      </c>
      <c r="K125">
        <v>0.44334998726844799</v>
      </c>
      <c r="L125">
        <v>497</v>
      </c>
      <c r="M125">
        <f t="shared" si="15"/>
        <v>6.2085900260966289</v>
      </c>
      <c r="N125" s="2">
        <v>0.79600000000000004</v>
      </c>
      <c r="O125">
        <v>0.52647954225540206</v>
      </c>
      <c r="P125">
        <v>0.67849403619766202</v>
      </c>
    </row>
    <row r="126" spans="1:16" x14ac:dyDescent="0.25">
      <c r="A126" t="s">
        <v>7</v>
      </c>
      <c r="B126" s="1" t="s">
        <v>20</v>
      </c>
      <c r="C126">
        <v>2017</v>
      </c>
      <c r="D126">
        <v>60516044657.225441</v>
      </c>
      <c r="E126">
        <v>11206534707.419706</v>
      </c>
      <c r="F126">
        <v>2335223</v>
      </c>
      <c r="G126">
        <f t="shared" si="11"/>
        <v>24.826174367769529</v>
      </c>
      <c r="H126">
        <f t="shared" si="12"/>
        <v>23.13976290112279</v>
      </c>
      <c r="I126">
        <f t="shared" si="13"/>
        <v>14.663617947736984</v>
      </c>
      <c r="J126">
        <f t="shared" si="14"/>
        <v>8.4761449533858055</v>
      </c>
      <c r="K126">
        <v>0.425870001316071</v>
      </c>
      <c r="L126">
        <v>504</v>
      </c>
      <c r="M126">
        <f t="shared" si="15"/>
        <v>6.2225762680713688</v>
      </c>
      <c r="N126" s="2">
        <v>0.8</v>
      </c>
      <c r="O126">
        <v>0.43345710635185197</v>
      </c>
      <c r="P126">
        <v>0.432417333126068</v>
      </c>
    </row>
    <row r="127" spans="1:16" x14ac:dyDescent="0.25">
      <c r="A127" t="s">
        <v>7</v>
      </c>
      <c r="B127" s="1" t="s">
        <v>20</v>
      </c>
      <c r="C127">
        <v>2018</v>
      </c>
      <c r="D127">
        <v>62420164991.537445</v>
      </c>
      <c r="E127">
        <v>11798372517.237179</v>
      </c>
      <c r="F127">
        <v>2459739</v>
      </c>
      <c r="G127">
        <f t="shared" si="11"/>
        <v>24.857154217033507</v>
      </c>
      <c r="H127">
        <f t="shared" si="12"/>
        <v>23.191227436637845</v>
      </c>
      <c r="I127">
        <f t="shared" si="13"/>
        <v>14.715565804718825</v>
      </c>
      <c r="J127">
        <f t="shared" si="14"/>
        <v>8.4756616319190208</v>
      </c>
      <c r="K127">
        <v>0.37143999338150002</v>
      </c>
      <c r="L127">
        <v>490</v>
      </c>
      <c r="M127">
        <f t="shared" si="15"/>
        <v>6.1944053911046719</v>
      </c>
      <c r="N127" s="2">
        <v>0.80400000000000005</v>
      </c>
      <c r="O127">
        <v>0.476172715425491</v>
      </c>
      <c r="P127">
        <v>0.50153255462646495</v>
      </c>
    </row>
    <row r="128" spans="1:16" x14ac:dyDescent="0.25">
      <c r="A128" t="s">
        <v>7</v>
      </c>
      <c r="B128" s="1" t="s">
        <v>20</v>
      </c>
      <c r="C128">
        <v>2020</v>
      </c>
      <c r="D128">
        <v>62395610760.391182</v>
      </c>
      <c r="E128">
        <v>12376895513.343027</v>
      </c>
      <c r="F128">
        <v>2456537</v>
      </c>
      <c r="G128">
        <f t="shared" si="11"/>
        <v>24.856760769469446</v>
      </c>
      <c r="H128">
        <f t="shared" si="12"/>
        <v>23.239097306466807</v>
      </c>
      <c r="I128">
        <f t="shared" si="13"/>
        <v>14.714263192557603</v>
      </c>
      <c r="J128">
        <f t="shared" si="14"/>
        <v>8.5248341139092041</v>
      </c>
      <c r="K128">
        <v>0.33002001047134399</v>
      </c>
      <c r="L128">
        <v>524</v>
      </c>
      <c r="M128">
        <f t="shared" si="15"/>
        <v>6.261491684321042</v>
      </c>
      <c r="N128" s="2">
        <v>0.81100000000000005</v>
      </c>
      <c r="O128">
        <v>0.47757959365844699</v>
      </c>
      <c r="P128">
        <v>0.66166323423385598</v>
      </c>
    </row>
    <row r="129" spans="1:16" x14ac:dyDescent="0.25">
      <c r="A129" t="s">
        <v>5</v>
      </c>
      <c r="B129" s="1" t="s">
        <v>80</v>
      </c>
      <c r="C129">
        <v>2005</v>
      </c>
      <c r="D129">
        <v>42643836100</v>
      </c>
      <c r="E129">
        <v>5735384400</v>
      </c>
      <c r="F129">
        <v>4842407</v>
      </c>
      <c r="G129">
        <f t="shared" si="11"/>
        <v>24.476148577579171</v>
      </c>
      <c r="H129">
        <f t="shared" si="12"/>
        <v>22.469920612308563</v>
      </c>
      <c r="I129">
        <f t="shared" si="13"/>
        <v>15.392922469122754</v>
      </c>
      <c r="J129">
        <f t="shared" si="14"/>
        <v>7.0769981431858096</v>
      </c>
      <c r="K129">
        <v>0.549199998378754</v>
      </c>
      <c r="L129">
        <v>180</v>
      </c>
      <c r="M129">
        <f t="shared" si="15"/>
        <v>5.1929568508902104</v>
      </c>
      <c r="N129" s="2">
        <v>0.74099999999999999</v>
      </c>
      <c r="O129">
        <v>-1.3198146820068399</v>
      </c>
      <c r="P129">
        <v>0.268494963645935</v>
      </c>
    </row>
    <row r="130" spans="1:16" x14ac:dyDescent="0.25">
      <c r="A130" t="s">
        <v>5</v>
      </c>
      <c r="B130" s="1" t="s">
        <v>80</v>
      </c>
      <c r="C130">
        <v>2006</v>
      </c>
      <c r="D130">
        <v>48835925925.925926</v>
      </c>
      <c r="E130">
        <v>5844226574.0740738</v>
      </c>
      <c r="F130">
        <v>4919403</v>
      </c>
      <c r="G130">
        <f t="shared" si="11"/>
        <v>24.611732065959462</v>
      </c>
      <c r="H130">
        <f t="shared" si="12"/>
        <v>22.488720100458753</v>
      </c>
      <c r="I130">
        <f t="shared" si="13"/>
        <v>15.408697739642605</v>
      </c>
      <c r="J130">
        <f t="shared" si="14"/>
        <v>7.0800223608161481</v>
      </c>
      <c r="K130">
        <v>0.44139000773429898</v>
      </c>
      <c r="L130">
        <v>163</v>
      </c>
      <c r="M130">
        <f t="shared" si="15"/>
        <v>5.0937502008067623</v>
      </c>
      <c r="N130" s="2">
        <v>0.76100000000000001</v>
      </c>
      <c r="O130">
        <v>-1.43240511417389</v>
      </c>
      <c r="P130">
        <v>0.25237688422203097</v>
      </c>
    </row>
    <row r="131" spans="1:16" x14ac:dyDescent="0.25">
      <c r="A131" t="s">
        <v>5</v>
      </c>
      <c r="B131" s="1" t="s">
        <v>80</v>
      </c>
      <c r="C131">
        <v>2007</v>
      </c>
      <c r="D131">
        <v>54262870370.370369</v>
      </c>
      <c r="E131">
        <v>6993518518.5185184</v>
      </c>
      <c r="F131">
        <v>4974488</v>
      </c>
      <c r="G131">
        <f t="shared" si="11"/>
        <v>24.717106043079728</v>
      </c>
      <c r="H131">
        <f t="shared" si="12"/>
        <v>22.668249631141595</v>
      </c>
      <c r="I131">
        <f t="shared" si="13"/>
        <v>15.419833008705897</v>
      </c>
      <c r="J131">
        <f t="shared" si="14"/>
        <v>7.2484166224356983</v>
      </c>
      <c r="K131">
        <v>0.43615001440048201</v>
      </c>
      <c r="L131">
        <v>210</v>
      </c>
      <c r="M131">
        <f t="shared" si="15"/>
        <v>5.3471075307174685</v>
      </c>
      <c r="N131" s="2">
        <v>0.77500000000000002</v>
      </c>
      <c r="O131">
        <v>-1.5610593557357799</v>
      </c>
      <c r="P131">
        <v>0.30124649405479398</v>
      </c>
    </row>
    <row r="132" spans="1:16" x14ac:dyDescent="0.25">
      <c r="A132" t="s">
        <v>5</v>
      </c>
      <c r="B132" s="1" t="s">
        <v>80</v>
      </c>
      <c r="C132">
        <v>2008</v>
      </c>
      <c r="D132">
        <v>56302129629.629623</v>
      </c>
      <c r="E132">
        <v>6228518518.5185184</v>
      </c>
      <c r="F132">
        <v>5012770</v>
      </c>
      <c r="G132">
        <f t="shared" si="11"/>
        <v>24.75399819783544</v>
      </c>
      <c r="H132">
        <f t="shared" si="12"/>
        <v>22.552404343476741</v>
      </c>
      <c r="I132">
        <f t="shared" si="13"/>
        <v>15.427499214482935</v>
      </c>
      <c r="J132">
        <f t="shared" si="14"/>
        <v>7.1249051289938059</v>
      </c>
      <c r="K132">
        <v>0.50060999393463101</v>
      </c>
      <c r="L132">
        <v>189</v>
      </c>
      <c r="M132">
        <f t="shared" si="15"/>
        <v>5.2417470150596426</v>
      </c>
      <c r="N132" s="2">
        <v>0.78400000000000003</v>
      </c>
      <c r="O132">
        <v>-1.4968012571334799</v>
      </c>
      <c r="P132">
        <v>0.262841045856476</v>
      </c>
    </row>
    <row r="133" spans="1:16" x14ac:dyDescent="0.25">
      <c r="A133" t="s">
        <v>5</v>
      </c>
      <c r="B133" s="1" t="s">
        <v>80</v>
      </c>
      <c r="C133">
        <v>2009</v>
      </c>
      <c r="D133">
        <v>57481481481.481476</v>
      </c>
      <c r="E133">
        <v>7439814814.8148146</v>
      </c>
      <c r="F133">
        <v>5148033</v>
      </c>
      <c r="G133">
        <f t="shared" si="11"/>
        <v>24.774728671685246</v>
      </c>
      <c r="H133">
        <f t="shared" si="12"/>
        <v>22.730111794999758</v>
      </c>
      <c r="I133">
        <f t="shared" si="13"/>
        <v>15.454125257934018</v>
      </c>
      <c r="J133">
        <f t="shared" si="14"/>
        <v>7.2759865370657391</v>
      </c>
      <c r="K133">
        <v>0.61484998464584395</v>
      </c>
      <c r="L133">
        <v>172</v>
      </c>
      <c r="M133">
        <f t="shared" si="15"/>
        <v>5.1474944768134527</v>
      </c>
      <c r="N133" s="2">
        <v>0.78400000000000003</v>
      </c>
      <c r="O133">
        <v>-1.6024627685546899</v>
      </c>
      <c r="P133">
        <v>0.27481022477150002</v>
      </c>
    </row>
    <row r="134" spans="1:16" x14ac:dyDescent="0.25">
      <c r="A134" t="s">
        <v>5</v>
      </c>
      <c r="B134" s="1" t="s">
        <v>80</v>
      </c>
      <c r="C134">
        <v>2011</v>
      </c>
      <c r="D134">
        <v>68990000000</v>
      </c>
      <c r="E134">
        <v>8084000000</v>
      </c>
      <c r="F134">
        <v>5177768</v>
      </c>
      <c r="G134">
        <f t="shared" si="11"/>
        <v>24.957227403504429</v>
      </c>
      <c r="H134">
        <f t="shared" si="12"/>
        <v>22.813152636487786</v>
      </c>
      <c r="I134">
        <f t="shared" si="13"/>
        <v>15.459884633345855</v>
      </c>
      <c r="J134">
        <f t="shared" si="14"/>
        <v>7.3532680031419311</v>
      </c>
      <c r="K134">
        <v>0.271919995546341</v>
      </c>
      <c r="L134">
        <v>184</v>
      </c>
      <c r="M134">
        <f t="shared" si="15"/>
        <v>5.2149357576089859</v>
      </c>
      <c r="N134" s="2">
        <v>0.77600000000000002</v>
      </c>
      <c r="O134">
        <v>-1.6269454956054701</v>
      </c>
      <c r="P134">
        <v>0.26503998041152999</v>
      </c>
    </row>
    <row r="135" spans="1:16" x14ac:dyDescent="0.25">
      <c r="A135" t="s">
        <v>5</v>
      </c>
      <c r="B135" s="1" t="s">
        <v>80</v>
      </c>
      <c r="C135">
        <v>2012</v>
      </c>
      <c r="D135">
        <v>73141000000</v>
      </c>
      <c r="E135">
        <v>10043000000</v>
      </c>
      <c r="F135">
        <v>5206440</v>
      </c>
      <c r="G135">
        <f t="shared" si="11"/>
        <v>25.015654921983259</v>
      </c>
      <c r="H135">
        <f t="shared" si="12"/>
        <v>23.030141711357611</v>
      </c>
      <c r="I135">
        <f t="shared" si="13"/>
        <v>15.465406878829217</v>
      </c>
      <c r="J135">
        <f t="shared" si="14"/>
        <v>7.5647348325283943</v>
      </c>
      <c r="K135">
        <v>0.407160013914108</v>
      </c>
      <c r="L135">
        <v>140</v>
      </c>
      <c r="M135">
        <f t="shared" si="15"/>
        <v>4.9416424226093039</v>
      </c>
      <c r="N135" s="2">
        <v>0.77100000000000002</v>
      </c>
      <c r="O135">
        <v>-1.5611596107482899</v>
      </c>
      <c r="P135">
        <v>0.22804300487041501</v>
      </c>
    </row>
    <row r="136" spans="1:16" x14ac:dyDescent="0.25">
      <c r="A136" t="s">
        <v>5</v>
      </c>
      <c r="B136" s="1" t="s">
        <v>80</v>
      </c>
      <c r="C136">
        <v>2013</v>
      </c>
      <c r="D136">
        <v>77148000000</v>
      </c>
      <c r="E136">
        <v>10238000000</v>
      </c>
      <c r="F136">
        <v>5235766</v>
      </c>
      <c r="G136">
        <f t="shared" si="11"/>
        <v>25.068991491893961</v>
      </c>
      <c r="H136">
        <f t="shared" si="12"/>
        <v>23.049372124981804</v>
      </c>
      <c r="I136">
        <f t="shared" si="13"/>
        <v>15.471023714409759</v>
      </c>
      <c r="J136">
        <f t="shared" si="14"/>
        <v>7.5783484105720458</v>
      </c>
      <c r="K136">
        <v>0.47466999292373702</v>
      </c>
      <c r="L136">
        <v>143</v>
      </c>
      <c r="M136">
        <f t="shared" si="15"/>
        <v>4.962844630259907</v>
      </c>
      <c r="N136" s="2">
        <v>0.76600000000000001</v>
      </c>
      <c r="O136">
        <v>-1.58073723316193</v>
      </c>
      <c r="P136">
        <v>0.11335390806198101</v>
      </c>
    </row>
    <row r="137" spans="1:16" x14ac:dyDescent="0.25">
      <c r="A137" t="s">
        <v>5</v>
      </c>
      <c r="B137" s="1" t="s">
        <v>80</v>
      </c>
      <c r="C137">
        <v>2014</v>
      </c>
      <c r="D137">
        <v>80656100000</v>
      </c>
      <c r="E137">
        <v>10086100000</v>
      </c>
      <c r="F137">
        <v>5258253</v>
      </c>
      <c r="G137">
        <f t="shared" si="11"/>
        <v>25.113460274119284</v>
      </c>
      <c r="H137">
        <f t="shared" si="12"/>
        <v>23.034424075285088</v>
      </c>
      <c r="I137">
        <f t="shared" si="13"/>
        <v>15.475309400269182</v>
      </c>
      <c r="J137">
        <f t="shared" si="14"/>
        <v>7.5591146750159055</v>
      </c>
      <c r="K137">
        <v>0.415960013866425</v>
      </c>
      <c r="L137">
        <v>126</v>
      </c>
      <c r="M137">
        <f t="shared" si="15"/>
        <v>4.836281906951478</v>
      </c>
      <c r="N137" s="2">
        <v>0.76600000000000001</v>
      </c>
      <c r="O137">
        <v>-1.3248159885406501</v>
      </c>
      <c r="P137">
        <v>6.2915347516536699E-2</v>
      </c>
    </row>
    <row r="138" spans="1:16" x14ac:dyDescent="0.25">
      <c r="A138" t="s">
        <v>5</v>
      </c>
      <c r="B138" s="1" t="s">
        <v>80</v>
      </c>
      <c r="C138">
        <v>2016</v>
      </c>
      <c r="D138">
        <v>91370407863.699997</v>
      </c>
      <c r="E138">
        <v>11198407863.699997</v>
      </c>
      <c r="F138">
        <v>5308720</v>
      </c>
      <c r="G138">
        <f t="shared" si="11"/>
        <v>25.238187497815861</v>
      </c>
      <c r="H138">
        <f t="shared" si="12"/>
        <v>23.139037450115691</v>
      </c>
      <c r="I138">
        <f t="shared" si="13"/>
        <v>15.484861309545852</v>
      </c>
      <c r="J138">
        <f t="shared" si="14"/>
        <v>7.6541761405698381</v>
      </c>
      <c r="K138">
        <v>0.34222999215125999</v>
      </c>
      <c r="L138">
        <v>163</v>
      </c>
      <c r="M138">
        <f t="shared" si="15"/>
        <v>5.0937502008067623</v>
      </c>
      <c r="N138" s="2">
        <v>0.76300000000000001</v>
      </c>
      <c r="O138">
        <v>-1.35518074035645</v>
      </c>
      <c r="P138">
        <v>0.13569207489490501</v>
      </c>
    </row>
    <row r="139" spans="1:16" x14ac:dyDescent="0.25">
      <c r="A139" t="s">
        <v>5</v>
      </c>
      <c r="B139" s="1" t="s">
        <v>80</v>
      </c>
      <c r="C139">
        <v>2017</v>
      </c>
      <c r="D139">
        <v>96850649691.740601</v>
      </c>
      <c r="E139">
        <v>12761649691.740601</v>
      </c>
      <c r="F139">
        <v>5326759</v>
      </c>
      <c r="G139">
        <f t="shared" si="11"/>
        <v>25.296435935003458</v>
      </c>
      <c r="H139">
        <f t="shared" si="12"/>
        <v>23.269710392692883</v>
      </c>
      <c r="I139">
        <f t="shared" si="13"/>
        <v>15.488253543651767</v>
      </c>
      <c r="J139">
        <f t="shared" si="14"/>
        <v>7.7814568490411151</v>
      </c>
      <c r="K139">
        <v>0.430660009384155</v>
      </c>
      <c r="L139">
        <v>145</v>
      </c>
      <c r="M139">
        <f t="shared" si="15"/>
        <v>4.9767337424205742</v>
      </c>
      <c r="N139" s="2">
        <v>0.76400000000000001</v>
      </c>
      <c r="O139">
        <v>-1.35102510452271</v>
      </c>
      <c r="P139">
        <v>0.23263481259346</v>
      </c>
    </row>
    <row r="140" spans="1:16" x14ac:dyDescent="0.25">
      <c r="A140" t="s">
        <v>5</v>
      </c>
      <c r="B140" s="1" t="s">
        <v>80</v>
      </c>
      <c r="C140">
        <v>2018</v>
      </c>
      <c r="D140">
        <v>100050036096.123</v>
      </c>
      <c r="E140">
        <v>14003036096.123001</v>
      </c>
      <c r="F140">
        <v>5342937</v>
      </c>
      <c r="G140">
        <f t="shared" si="11"/>
        <v>25.328936258756929</v>
      </c>
      <c r="H140">
        <f t="shared" si="12"/>
        <v>23.362540007058854</v>
      </c>
      <c r="I140">
        <f t="shared" si="13"/>
        <v>15.491286059741814</v>
      </c>
      <c r="J140">
        <f t="shared" si="14"/>
        <v>7.8712539473170402</v>
      </c>
      <c r="K140">
        <v>0.53690999746322599</v>
      </c>
      <c r="L140">
        <v>126</v>
      </c>
      <c r="M140">
        <f t="shared" si="15"/>
        <v>4.836281906951478</v>
      </c>
      <c r="N140" s="2">
        <v>0.76500000000000001</v>
      </c>
      <c r="O140">
        <v>-1.47934222221375</v>
      </c>
      <c r="P140">
        <v>0.134128853678703</v>
      </c>
    </row>
    <row r="141" spans="1:16" x14ac:dyDescent="0.25">
      <c r="A141" t="s">
        <v>5</v>
      </c>
      <c r="B141" s="1" t="s">
        <v>80</v>
      </c>
      <c r="C141">
        <v>2019</v>
      </c>
      <c r="D141">
        <v>103427600000</v>
      </c>
      <c r="E141">
        <v>13550600000</v>
      </c>
      <c r="F141">
        <v>5345176</v>
      </c>
      <c r="G141">
        <f t="shared" si="11"/>
        <v>25.362137687967515</v>
      </c>
      <c r="H141">
        <f t="shared" si="12"/>
        <v>23.329696663734577</v>
      </c>
      <c r="I141">
        <f t="shared" si="13"/>
        <v>15.491705029869234</v>
      </c>
      <c r="J141">
        <f t="shared" si="14"/>
        <v>7.837991633865343</v>
      </c>
      <c r="K141">
        <v>0.55308002233505205</v>
      </c>
      <c r="L141">
        <v>88</v>
      </c>
      <c r="M141">
        <f t="shared" si="15"/>
        <v>4.4773368144782069</v>
      </c>
      <c r="N141" s="2">
        <v>0.76600000000000001</v>
      </c>
      <c r="O141">
        <v>-1.50501537322998</v>
      </c>
      <c r="P141">
        <v>1.46971046924591E-2</v>
      </c>
    </row>
    <row r="142" spans="1:16" x14ac:dyDescent="0.25">
      <c r="A142" t="s">
        <v>5</v>
      </c>
      <c r="B142" s="1" t="s">
        <v>80</v>
      </c>
      <c r="C142">
        <v>2020</v>
      </c>
      <c r="D142">
        <v>107351800000</v>
      </c>
      <c r="E142">
        <v>11302800000</v>
      </c>
      <c r="F142">
        <v>5016414</v>
      </c>
      <c r="G142">
        <f t="shared" si="11"/>
        <v>25.399377128713301</v>
      </c>
      <c r="H142">
        <f t="shared" si="12"/>
        <v>23.148316319581046</v>
      </c>
      <c r="I142">
        <f t="shared" si="13"/>
        <v>15.428225893774162</v>
      </c>
      <c r="J142">
        <f t="shared" si="14"/>
        <v>7.7200904258068839</v>
      </c>
      <c r="K142">
        <v>0.518379986286163</v>
      </c>
      <c r="L142">
        <v>76</v>
      </c>
      <c r="M142">
        <f t="shared" si="15"/>
        <v>4.3307333402863311</v>
      </c>
      <c r="N142" s="2">
        <v>0.75900000000000001</v>
      </c>
      <c r="O142">
        <v>-1.5304634571075399</v>
      </c>
      <c r="P142">
        <v>-0.15457861125469199</v>
      </c>
    </row>
    <row r="143" spans="1:16" x14ac:dyDescent="0.25">
      <c r="A143" t="s">
        <v>14</v>
      </c>
      <c r="B143" s="1" t="s">
        <v>35</v>
      </c>
      <c r="C143">
        <v>2005</v>
      </c>
      <c r="D143">
        <v>89600665557.404327</v>
      </c>
      <c r="E143">
        <v>14076539101.497505</v>
      </c>
      <c r="F143">
        <v>23853891</v>
      </c>
      <c r="G143">
        <f t="shared" si="11"/>
        <v>25.218628584995738</v>
      </c>
      <c r="H143">
        <f t="shared" si="12"/>
        <v>23.367775355011471</v>
      </c>
      <c r="I143">
        <f t="shared" si="13"/>
        <v>16.987457906646071</v>
      </c>
      <c r="J143">
        <f t="shared" si="14"/>
        <v>6.3803174483653997</v>
      </c>
      <c r="K143">
        <v>0.241410002112389</v>
      </c>
      <c r="L143">
        <v>1008</v>
      </c>
      <c r="M143">
        <f t="shared" si="15"/>
        <v>6.9157234486313142</v>
      </c>
      <c r="N143" s="2">
        <v>0.63700000000000001</v>
      </c>
      <c r="O143">
        <v>-0.45302626490593001</v>
      </c>
      <c r="P143">
        <v>-0.53949952125549305</v>
      </c>
    </row>
    <row r="144" spans="1:16" x14ac:dyDescent="0.25">
      <c r="A144" t="s">
        <v>14</v>
      </c>
      <c r="B144" s="1" t="s">
        <v>35</v>
      </c>
      <c r="C144">
        <v>2007</v>
      </c>
      <c r="D144">
        <v>130437828371.27846</v>
      </c>
      <c r="E144">
        <v>21225919439.579685</v>
      </c>
      <c r="F144">
        <v>26081669</v>
      </c>
      <c r="G144">
        <f t="shared" si="11"/>
        <v>25.594162539241349</v>
      </c>
      <c r="H144">
        <f t="shared" si="12"/>
        <v>23.778488886913706</v>
      </c>
      <c r="I144">
        <f t="shared" si="13"/>
        <v>17.07674328837388</v>
      </c>
      <c r="J144">
        <f t="shared" si="14"/>
        <v>6.7017455985398264</v>
      </c>
      <c r="K144">
        <v>0.25510001182556202</v>
      </c>
      <c r="L144">
        <v>1589</v>
      </c>
      <c r="M144">
        <f t="shared" si="15"/>
        <v>7.3708601665367164</v>
      </c>
      <c r="N144" s="2">
        <v>0.64900000000000002</v>
      </c>
      <c r="O144">
        <v>-0.31713700294494601</v>
      </c>
      <c r="P144">
        <v>-0.73787009716033902</v>
      </c>
    </row>
    <row r="145" spans="1:16" x14ac:dyDescent="0.25">
      <c r="A145" t="s">
        <v>14</v>
      </c>
      <c r="B145" s="1" t="s">
        <v>35</v>
      </c>
      <c r="C145">
        <v>2008</v>
      </c>
      <c r="D145">
        <v>162818181818.18182</v>
      </c>
      <c r="E145">
        <v>27345454545.454544</v>
      </c>
      <c r="F145">
        <v>26485023</v>
      </c>
      <c r="G145">
        <f t="shared" si="11"/>
        <v>25.815899966208754</v>
      </c>
      <c r="H145">
        <f t="shared" si="12"/>
        <v>24.031816156223726</v>
      </c>
      <c r="I145">
        <f t="shared" si="13"/>
        <v>17.092089961376473</v>
      </c>
      <c r="J145">
        <f t="shared" si="14"/>
        <v>6.9397261948472533</v>
      </c>
      <c r="K145">
        <v>0.270240008831024</v>
      </c>
      <c r="L145">
        <v>1649</v>
      </c>
      <c r="M145">
        <f t="shared" si="15"/>
        <v>7.407924322559599</v>
      </c>
      <c r="N145" s="2">
        <v>0.65600000000000003</v>
      </c>
      <c r="O145">
        <v>-0.20163498818874401</v>
      </c>
      <c r="P145">
        <v>-0.76590925455093395</v>
      </c>
    </row>
    <row r="146" spans="1:16" x14ac:dyDescent="0.25">
      <c r="A146" t="s">
        <v>14</v>
      </c>
      <c r="B146" s="1" t="s">
        <v>35</v>
      </c>
      <c r="C146">
        <v>2009</v>
      </c>
      <c r="D146">
        <v>189147005444.64612</v>
      </c>
      <c r="E146">
        <v>23738656987.295826</v>
      </c>
      <c r="F146">
        <v>27281764</v>
      </c>
      <c r="G146">
        <f t="shared" si="11"/>
        <v>25.965790356256701</v>
      </c>
      <c r="H146">
        <f t="shared" si="12"/>
        <v>23.890370652804688</v>
      </c>
      <c r="I146">
        <f t="shared" si="13"/>
        <v>17.121729051605588</v>
      </c>
      <c r="J146">
        <f t="shared" si="14"/>
        <v>6.7686416011991</v>
      </c>
      <c r="K146">
        <v>0.43312001228332497</v>
      </c>
      <c r="L146">
        <v>1452</v>
      </c>
      <c r="M146">
        <f t="shared" si="15"/>
        <v>7.2806971953847412</v>
      </c>
      <c r="N146" s="2">
        <v>0.66100000000000003</v>
      </c>
      <c r="O146">
        <v>-0.17781800031662001</v>
      </c>
      <c r="P146">
        <v>-0.46486279368400601</v>
      </c>
    </row>
    <row r="147" spans="1:16" x14ac:dyDescent="0.25">
      <c r="A147" t="s">
        <v>14</v>
      </c>
      <c r="B147" s="1" t="s">
        <v>35</v>
      </c>
      <c r="C147">
        <v>2010</v>
      </c>
      <c r="D147">
        <v>218983666061.70599</v>
      </c>
      <c r="E147">
        <v>31234119782.214157</v>
      </c>
      <c r="F147">
        <v>28739910</v>
      </c>
      <c r="G147">
        <f t="shared" si="11"/>
        <v>26.112262979788248</v>
      </c>
      <c r="H147">
        <f t="shared" si="12"/>
        <v>24.164776916999081</v>
      </c>
      <c r="I147">
        <f t="shared" si="13"/>
        <v>17.173797307086243</v>
      </c>
      <c r="J147">
        <f t="shared" si="14"/>
        <v>6.9909796099128378</v>
      </c>
      <c r="K147">
        <v>0.43345001339912398</v>
      </c>
      <c r="L147">
        <v>1625</v>
      </c>
      <c r="M147">
        <f t="shared" si="15"/>
        <v>7.3932630947638378</v>
      </c>
      <c r="N147" s="2">
        <v>0.66700000000000004</v>
      </c>
      <c r="O147">
        <v>-0.14759804308414501</v>
      </c>
      <c r="P147">
        <v>-0.59687185287475597</v>
      </c>
    </row>
    <row r="148" spans="1:16" x14ac:dyDescent="0.25">
      <c r="A148" t="s">
        <v>14</v>
      </c>
      <c r="B148" s="1" t="s">
        <v>35</v>
      </c>
      <c r="C148">
        <v>2011</v>
      </c>
      <c r="D148">
        <v>235989672977.62479</v>
      </c>
      <c r="E148">
        <v>30636833046.471603</v>
      </c>
      <c r="F148">
        <v>29061496</v>
      </c>
      <c r="G148">
        <f t="shared" si="11"/>
        <v>26.187053882445202</v>
      </c>
      <c r="H148">
        <f t="shared" si="12"/>
        <v>24.145468816374677</v>
      </c>
      <c r="I148">
        <f t="shared" si="13"/>
        <v>17.184924694478553</v>
      </c>
      <c r="J148">
        <f t="shared" si="14"/>
        <v>6.9605441218961239</v>
      </c>
      <c r="K148">
        <v>0.53153997659683205</v>
      </c>
      <c r="L148">
        <v>1591</v>
      </c>
      <c r="M148">
        <f t="shared" si="15"/>
        <v>7.3721180283377867</v>
      </c>
      <c r="N148" s="2">
        <v>0.67100000000000004</v>
      </c>
      <c r="O148">
        <v>-0.246938586235046</v>
      </c>
      <c r="P148">
        <v>-0.63326394557952903</v>
      </c>
    </row>
    <row r="149" spans="1:16" x14ac:dyDescent="0.25">
      <c r="A149" t="s">
        <v>14</v>
      </c>
      <c r="B149" s="1" t="s">
        <v>35</v>
      </c>
      <c r="C149">
        <v>2012</v>
      </c>
      <c r="D149">
        <v>279116666666.66669</v>
      </c>
      <c r="E149">
        <v>22633333333.333332</v>
      </c>
      <c r="F149">
        <v>29544119</v>
      </c>
      <c r="G149">
        <f t="shared" si="11"/>
        <v>26.35489569145879</v>
      </c>
      <c r="H149">
        <f t="shared" si="12"/>
        <v>23.842689582842951</v>
      </c>
      <c r="I149">
        <f t="shared" si="13"/>
        <v>17.201395263397028</v>
      </c>
      <c r="J149">
        <f t="shared" si="14"/>
        <v>6.6412943194459224</v>
      </c>
      <c r="K149">
        <v>0.50898998975753795</v>
      </c>
      <c r="L149">
        <v>1528</v>
      </c>
      <c r="M149">
        <f t="shared" si="15"/>
        <v>7.3317149697264661</v>
      </c>
      <c r="N149" s="2">
        <v>0.67900000000000005</v>
      </c>
      <c r="O149">
        <v>-0.38559177517890902</v>
      </c>
      <c r="P149">
        <v>-0.57966434955596902</v>
      </c>
    </row>
    <row r="150" spans="1:16" x14ac:dyDescent="0.25">
      <c r="A150" t="s">
        <v>14</v>
      </c>
      <c r="B150" s="1" t="s">
        <v>35</v>
      </c>
      <c r="C150">
        <v>2013</v>
      </c>
      <c r="D150">
        <v>288434108527.13177</v>
      </c>
      <c r="E150">
        <v>22713178294.573643</v>
      </c>
      <c r="F150">
        <v>30181706</v>
      </c>
      <c r="G150">
        <f t="shared" si="11"/>
        <v>26.387732503488671</v>
      </c>
      <c r="H150">
        <f t="shared" si="12"/>
        <v>23.846211134595851</v>
      </c>
      <c r="I150">
        <f t="shared" si="13"/>
        <v>17.222746537208014</v>
      </c>
      <c r="J150">
        <f t="shared" si="14"/>
        <v>6.6234645973878372</v>
      </c>
      <c r="K150">
        <v>0.63894999027252197</v>
      </c>
      <c r="L150">
        <v>1416</v>
      </c>
      <c r="M150">
        <f t="shared" si="15"/>
        <v>7.255591274253665</v>
      </c>
      <c r="N150" s="2">
        <v>0.68400000000000005</v>
      </c>
      <c r="O150">
        <v>-0.55743312835693404</v>
      </c>
      <c r="P150">
        <v>-0.61380189657211304</v>
      </c>
    </row>
    <row r="151" spans="1:16" x14ac:dyDescent="0.25">
      <c r="A151" t="s">
        <v>14</v>
      </c>
      <c r="B151" s="1" t="s">
        <v>35</v>
      </c>
      <c r="C151">
        <v>2014</v>
      </c>
      <c r="D151">
        <v>305595408895.26544</v>
      </c>
      <c r="E151">
        <v>15925394548.063128</v>
      </c>
      <c r="F151">
        <v>30655760</v>
      </c>
      <c r="G151">
        <f t="shared" si="11"/>
        <v>26.445527870877449</v>
      </c>
      <c r="H151">
        <f t="shared" si="12"/>
        <v>23.491180813486313</v>
      </c>
      <c r="I151">
        <f t="shared" si="13"/>
        <v>17.238331130912059</v>
      </c>
      <c r="J151">
        <f t="shared" si="14"/>
        <v>6.2528496825742543</v>
      </c>
      <c r="K151">
        <v>0.63648998737335205</v>
      </c>
      <c r="L151">
        <v>1384</v>
      </c>
      <c r="M151">
        <f t="shared" si="15"/>
        <v>7.2327331361776146</v>
      </c>
      <c r="N151" s="2">
        <v>0.68799999999999994</v>
      </c>
      <c r="O151">
        <v>-0.68722504377365101</v>
      </c>
      <c r="P151">
        <v>-0.57511454820632901</v>
      </c>
    </row>
    <row r="152" spans="1:16" x14ac:dyDescent="0.25">
      <c r="A152" t="s">
        <v>14</v>
      </c>
      <c r="B152" s="1" t="s">
        <v>35</v>
      </c>
      <c r="C152">
        <v>2015</v>
      </c>
      <c r="D152">
        <v>329366576819.40698</v>
      </c>
      <c r="E152">
        <v>19137466307.27763</v>
      </c>
      <c r="F152">
        <v>30540697</v>
      </c>
      <c r="G152">
        <f t="shared" si="11"/>
        <v>26.520437182691225</v>
      </c>
      <c r="H152">
        <f t="shared" si="12"/>
        <v>23.674913837368383</v>
      </c>
      <c r="I152">
        <f t="shared" si="13"/>
        <v>17.234570680022163</v>
      </c>
      <c r="J152">
        <f t="shared" si="14"/>
        <v>6.44034315734622</v>
      </c>
      <c r="K152">
        <v>0.71858000755310103</v>
      </c>
      <c r="L152">
        <v>1337</v>
      </c>
      <c r="M152">
        <f t="shared" si="15"/>
        <v>7.1981835771019433</v>
      </c>
      <c r="N152" s="2">
        <v>0.69499999999999995</v>
      </c>
      <c r="O152">
        <v>-0.79636305570602395</v>
      </c>
      <c r="P152">
        <v>-0.60065078735351596</v>
      </c>
    </row>
    <row r="153" spans="1:16" x14ac:dyDescent="0.25">
      <c r="A153" t="s">
        <v>14</v>
      </c>
      <c r="B153" s="1" t="s">
        <v>35</v>
      </c>
      <c r="C153">
        <v>2016</v>
      </c>
      <c r="D153">
        <v>332441717791.41101</v>
      </c>
      <c r="E153">
        <v>18233128834.355827</v>
      </c>
      <c r="F153">
        <v>30927659</v>
      </c>
      <c r="G153">
        <f t="shared" si="11"/>
        <v>26.529730396840275</v>
      </c>
      <c r="H153">
        <f t="shared" si="12"/>
        <v>23.626506041977297</v>
      </c>
      <c r="I153">
        <f t="shared" si="13"/>
        <v>17.247161454761603</v>
      </c>
      <c r="J153">
        <f t="shared" si="14"/>
        <v>6.3793445872156944</v>
      </c>
      <c r="K153">
        <v>0.70848000049591098</v>
      </c>
      <c r="L153">
        <v>1258</v>
      </c>
      <c r="M153">
        <f t="shared" si="15"/>
        <v>7.1372784372603855</v>
      </c>
      <c r="N153" s="2">
        <v>0.70199999999999996</v>
      </c>
      <c r="O153">
        <v>-0.89287590980529796</v>
      </c>
      <c r="P153">
        <v>-0.59074223041534402</v>
      </c>
    </row>
    <row r="154" spans="1:16" x14ac:dyDescent="0.25">
      <c r="A154" t="s">
        <v>14</v>
      </c>
      <c r="B154" s="1" t="s">
        <v>35</v>
      </c>
      <c r="C154">
        <v>2017</v>
      </c>
      <c r="D154">
        <v>248362771739.13043</v>
      </c>
      <c r="E154">
        <v>10781250000</v>
      </c>
      <c r="F154">
        <v>30428646</v>
      </c>
      <c r="G154">
        <f t="shared" si="11"/>
        <v>26.238156303548049</v>
      </c>
      <c r="H154">
        <f t="shared" si="12"/>
        <v>23.101074351178045</v>
      </c>
      <c r="I154">
        <f t="shared" si="13"/>
        <v>17.230895025319608</v>
      </c>
      <c r="J154">
        <f t="shared" si="14"/>
        <v>5.8701793258584374</v>
      </c>
      <c r="K154">
        <v>0.64486002922058105</v>
      </c>
      <c r="L154">
        <v>1254</v>
      </c>
      <c r="M154">
        <f t="shared" si="15"/>
        <v>7.1340937211928663</v>
      </c>
      <c r="N154" s="2">
        <v>0.70899999999999996</v>
      </c>
      <c r="O154">
        <v>-0.81294149160385099</v>
      </c>
      <c r="P154">
        <v>-0.495695531368256</v>
      </c>
    </row>
    <row r="155" spans="1:16" x14ac:dyDescent="0.25">
      <c r="A155" t="s">
        <v>14</v>
      </c>
      <c r="B155" s="1" t="s">
        <v>35</v>
      </c>
      <c r="C155">
        <v>2018</v>
      </c>
      <c r="D155">
        <v>262588632526.73044</v>
      </c>
      <c r="E155">
        <v>23021947101.857063</v>
      </c>
      <c r="F155">
        <v>29899860</v>
      </c>
      <c r="G155">
        <f t="shared" si="11"/>
        <v>26.293854509708805</v>
      </c>
      <c r="H155">
        <f t="shared" si="12"/>
        <v>23.859713819715203</v>
      </c>
      <c r="I155">
        <f t="shared" si="13"/>
        <v>17.213364356075704</v>
      </c>
      <c r="J155">
        <f t="shared" si="14"/>
        <v>6.6463494636394991</v>
      </c>
      <c r="K155">
        <v>0.68839001655578602</v>
      </c>
      <c r="L155">
        <v>1258</v>
      </c>
      <c r="M155">
        <f t="shared" si="15"/>
        <v>7.1372784372603855</v>
      </c>
      <c r="N155" s="2">
        <v>0.71699999999999997</v>
      </c>
      <c r="O155">
        <v>-0.80427479743957497</v>
      </c>
      <c r="P155">
        <v>-0.51439255475997903</v>
      </c>
    </row>
    <row r="156" spans="1:16" x14ac:dyDescent="0.25">
      <c r="A156" t="s">
        <v>14</v>
      </c>
      <c r="B156" s="1" t="s">
        <v>35</v>
      </c>
      <c r="C156">
        <v>2019</v>
      </c>
      <c r="D156">
        <v>318678815489.74945</v>
      </c>
      <c r="E156">
        <v>38935079726.651482</v>
      </c>
      <c r="F156">
        <v>29708924</v>
      </c>
      <c r="G156">
        <f t="shared" si="11"/>
        <v>26.487449584524814</v>
      </c>
      <c r="H156">
        <f t="shared" si="12"/>
        <v>24.385161473659188</v>
      </c>
      <c r="I156">
        <f t="shared" si="13"/>
        <v>17.206958030020914</v>
      </c>
      <c r="J156">
        <f t="shared" si="14"/>
        <v>7.1782034436382745</v>
      </c>
      <c r="K156">
        <v>0.79616999626159701</v>
      </c>
      <c r="L156">
        <v>1156</v>
      </c>
      <c r="M156">
        <f t="shared" si="15"/>
        <v>7.0527210492323231</v>
      </c>
      <c r="N156" s="2">
        <v>0.72399999999999998</v>
      </c>
      <c r="O156">
        <v>-0.75856322050094604</v>
      </c>
      <c r="P156">
        <v>-0.65516608953475997</v>
      </c>
    </row>
    <row r="157" spans="1:16" x14ac:dyDescent="0.25">
      <c r="A157" t="s">
        <v>14</v>
      </c>
      <c r="B157" s="1" t="s">
        <v>35</v>
      </c>
      <c r="C157">
        <v>2020</v>
      </c>
      <c r="D157">
        <v>383817841547.09918</v>
      </c>
      <c r="E157">
        <v>33830318153.462257</v>
      </c>
      <c r="F157">
        <v>29873073</v>
      </c>
      <c r="G157">
        <f t="shared" si="11"/>
        <v>26.673433906013539</v>
      </c>
      <c r="H157">
        <f t="shared" si="12"/>
        <v>24.244623224171963</v>
      </c>
      <c r="I157">
        <f t="shared" si="13"/>
        <v>17.212468064043549</v>
      </c>
      <c r="J157">
        <f t="shared" si="14"/>
        <v>7.0321551601284149</v>
      </c>
      <c r="K157">
        <v>0.91563999652862504</v>
      </c>
      <c r="L157">
        <v>1229</v>
      </c>
      <c r="M157">
        <f t="shared" si="15"/>
        <v>7.1139561095660344</v>
      </c>
      <c r="N157" s="2">
        <v>0.72899999999999998</v>
      </c>
      <c r="O157">
        <v>-0.571031153202057</v>
      </c>
      <c r="P157">
        <v>-0.810555279254913</v>
      </c>
    </row>
    <row r="158" spans="1:16" x14ac:dyDescent="0.25">
      <c r="A158" t="s">
        <v>101</v>
      </c>
      <c r="B158" s="1" t="s">
        <v>113</v>
      </c>
      <c r="C158">
        <v>2016</v>
      </c>
      <c r="D158">
        <v>24191430000</v>
      </c>
      <c r="E158">
        <v>15870000</v>
      </c>
      <c r="F158">
        <v>2673318</v>
      </c>
      <c r="G158">
        <f t="shared" si="11"/>
        <v>23.909264275158019</v>
      </c>
      <c r="H158">
        <f t="shared" si="12"/>
        <v>16.57994109250259</v>
      </c>
      <c r="I158">
        <f t="shared" si="13"/>
        <v>14.798830955497291</v>
      </c>
      <c r="J158">
        <f t="shared" si="14"/>
        <v>1.7811101370052995</v>
      </c>
      <c r="K158">
        <v>0.144930005073547</v>
      </c>
      <c r="L158">
        <v>171</v>
      </c>
      <c r="M158">
        <f t="shared" si="15"/>
        <v>5.1416635565026603</v>
      </c>
      <c r="N158" s="2">
        <v>0.66400000000000003</v>
      </c>
      <c r="O158">
        <v>-5.0619147717952701E-2</v>
      </c>
      <c r="P158">
        <v>-0.55580717325210605</v>
      </c>
    </row>
    <row r="159" spans="1:16" x14ac:dyDescent="0.25">
      <c r="A159" t="s">
        <v>101</v>
      </c>
      <c r="B159" s="1" t="s">
        <v>113</v>
      </c>
      <c r="C159">
        <v>2017</v>
      </c>
      <c r="D159">
        <v>24979190000</v>
      </c>
      <c r="E159">
        <v>107880000</v>
      </c>
      <c r="F159">
        <v>2687119</v>
      </c>
      <c r="G159">
        <f t="shared" si="11"/>
        <v>23.941308915177359</v>
      </c>
      <c r="H159">
        <f t="shared" si="12"/>
        <v>18.496530056235802</v>
      </c>
      <c r="I159">
        <f t="shared" si="13"/>
        <v>14.803980173926242</v>
      </c>
      <c r="J159">
        <f t="shared" si="14"/>
        <v>3.6925498823095602</v>
      </c>
      <c r="K159">
        <v>0.180779993534088</v>
      </c>
      <c r="L159">
        <v>178</v>
      </c>
      <c r="M159">
        <f t="shared" si="15"/>
        <v>5.181783550292085</v>
      </c>
      <c r="N159" s="2">
        <v>0.66700000000000004</v>
      </c>
      <c r="O159">
        <v>-0.169848293066025</v>
      </c>
      <c r="P159">
        <v>-0.53389781713485696</v>
      </c>
    </row>
    <row r="160" spans="1:16" x14ac:dyDescent="0.25">
      <c r="A160" t="s">
        <v>101</v>
      </c>
      <c r="B160" s="1" t="s">
        <v>113</v>
      </c>
      <c r="C160">
        <v>2018</v>
      </c>
      <c r="D160">
        <v>26020850000</v>
      </c>
      <c r="E160">
        <v>157850000</v>
      </c>
      <c r="F160">
        <v>2694155</v>
      </c>
      <c r="G160">
        <f t="shared" si="11"/>
        <v>23.982163976676304</v>
      </c>
      <c r="H160">
        <f t="shared" si="12"/>
        <v>18.877155772968276</v>
      </c>
      <c r="I160">
        <f t="shared" si="13"/>
        <v>14.806595169560905</v>
      </c>
      <c r="J160">
        <f t="shared" si="14"/>
        <v>4.0705606034073707</v>
      </c>
      <c r="K160">
        <v>0.16530999541282701</v>
      </c>
      <c r="L160">
        <v>136</v>
      </c>
      <c r="M160">
        <f t="shared" si="15"/>
        <v>4.9126548857360524</v>
      </c>
      <c r="N160" s="2">
        <v>0.67300000000000004</v>
      </c>
      <c r="O160">
        <v>-1.6186896711587899E-2</v>
      </c>
      <c r="P160">
        <v>-0.58603477478027299</v>
      </c>
    </row>
    <row r="161" spans="1:16" x14ac:dyDescent="0.25">
      <c r="A161" t="s">
        <v>101</v>
      </c>
      <c r="B161" s="1" t="s">
        <v>113</v>
      </c>
      <c r="C161">
        <v>2019</v>
      </c>
      <c r="D161">
        <v>26881140000</v>
      </c>
      <c r="E161">
        <v>595320000</v>
      </c>
      <c r="F161">
        <v>2762085</v>
      </c>
      <c r="G161">
        <f t="shared" si="11"/>
        <v>24.014690762416336</v>
      </c>
      <c r="H161">
        <f t="shared" si="12"/>
        <v>20.204609634065232</v>
      </c>
      <c r="I161">
        <f t="shared" si="13"/>
        <v>14.831496387278708</v>
      </c>
      <c r="J161">
        <f t="shared" si="14"/>
        <v>5.3731132467865237</v>
      </c>
      <c r="K161">
        <v>0.174769997596741</v>
      </c>
      <c r="L161">
        <v>147</v>
      </c>
      <c r="M161">
        <f t="shared" si="15"/>
        <v>4.990432586778736</v>
      </c>
      <c r="N161" s="2">
        <v>0.67600000000000005</v>
      </c>
      <c r="O161">
        <v>-3.7950448691844899E-2</v>
      </c>
      <c r="P161">
        <v>-0.53762894868850697</v>
      </c>
    </row>
    <row r="162" spans="1:16" x14ac:dyDescent="0.25">
      <c r="A162" t="s">
        <v>15</v>
      </c>
      <c r="B162" s="1" t="s">
        <v>32</v>
      </c>
      <c r="C162">
        <v>2005</v>
      </c>
      <c r="D162">
        <v>26783389293.921989</v>
      </c>
      <c r="E162">
        <v>605269189.81852639</v>
      </c>
      <c r="F162">
        <v>4720723</v>
      </c>
      <c r="G162">
        <f t="shared" si="11"/>
        <v>24.011047729840673</v>
      </c>
      <c r="H162">
        <f t="shared" si="12"/>
        <v>20.221183858886647</v>
      </c>
      <c r="I162">
        <f t="shared" si="13"/>
        <v>15.367472523797293</v>
      </c>
      <c r="J162">
        <f t="shared" si="14"/>
        <v>4.8537113350893542</v>
      </c>
      <c r="K162">
        <v>3.5560000687837601E-2</v>
      </c>
      <c r="L162">
        <v>388</v>
      </c>
      <c r="M162">
        <f t="shared" si="15"/>
        <v>5.9610053396232736</v>
      </c>
      <c r="N162" s="2">
        <v>0.57399999999999995</v>
      </c>
      <c r="O162">
        <v>-0.50091141462326105</v>
      </c>
      <c r="P162">
        <v>-0.68420392274856601</v>
      </c>
    </row>
    <row r="163" spans="1:16" x14ac:dyDescent="0.25">
      <c r="A163" t="s">
        <v>15</v>
      </c>
      <c r="B163" s="1" t="s">
        <v>32</v>
      </c>
      <c r="C163">
        <v>2006</v>
      </c>
      <c r="D163">
        <v>29744246827.183907</v>
      </c>
      <c r="E163">
        <v>682887779.24379075</v>
      </c>
      <c r="F163">
        <v>4825217</v>
      </c>
      <c r="G163">
        <f t="shared" ref="G163:G212" si="16">LN(D163)</f>
        <v>24.115901566276754</v>
      </c>
      <c r="H163">
        <f t="shared" ref="H163:H212" si="17">LN(E163)</f>
        <v>20.341841098389427</v>
      </c>
      <c r="I163">
        <f t="shared" ref="I163:I212" si="18">LN(F163)</f>
        <v>15.389366265837184</v>
      </c>
      <c r="J163">
        <f t="shared" ref="J163:J212" si="19">H163-I163</f>
        <v>4.9524748325522427</v>
      </c>
      <c r="K163">
        <v>5.0099998712539701E-2</v>
      </c>
      <c r="L163">
        <v>500</v>
      </c>
      <c r="M163">
        <f t="shared" ref="M163:M212" si="20">LN(L163)</f>
        <v>6.2146080984221914</v>
      </c>
      <c r="N163" s="2">
        <v>0.57999999999999996</v>
      </c>
      <c r="O163">
        <v>-0.31537607312202498</v>
      </c>
      <c r="P163">
        <v>-0.83790272474288896</v>
      </c>
    </row>
    <row r="164" spans="1:16" x14ac:dyDescent="0.25">
      <c r="A164" t="s">
        <v>15</v>
      </c>
      <c r="B164" s="1" t="s">
        <v>32</v>
      </c>
      <c r="C164">
        <v>2007</v>
      </c>
      <c r="D164">
        <v>33567850824.103931</v>
      </c>
      <c r="E164">
        <v>840857419.43757212</v>
      </c>
      <c r="F164">
        <v>4931026</v>
      </c>
      <c r="G164">
        <f t="shared" si="16"/>
        <v>24.23683462515924</v>
      </c>
      <c r="H164">
        <f t="shared" si="17"/>
        <v>20.5499326666291</v>
      </c>
      <c r="I164">
        <f t="shared" si="18"/>
        <v>15.411057637956507</v>
      </c>
      <c r="J164">
        <f t="shared" si="19"/>
        <v>5.1388750286725937</v>
      </c>
      <c r="K164">
        <v>6.7819997668266296E-2</v>
      </c>
      <c r="L164">
        <v>99</v>
      </c>
      <c r="M164">
        <f t="shared" si="20"/>
        <v>4.5951198501345898</v>
      </c>
      <c r="N164" s="2">
        <v>0.59</v>
      </c>
      <c r="O164">
        <v>-0.30553713440895103</v>
      </c>
      <c r="P164">
        <v>-0.76933395862579301</v>
      </c>
    </row>
    <row r="165" spans="1:16" x14ac:dyDescent="0.25">
      <c r="A165" t="s">
        <v>15</v>
      </c>
      <c r="B165" s="1" t="s">
        <v>32</v>
      </c>
      <c r="C165">
        <v>2008</v>
      </c>
      <c r="D165">
        <v>38503720224.316628</v>
      </c>
      <c r="E165">
        <v>37981049.805635639</v>
      </c>
      <c r="F165">
        <v>5037761</v>
      </c>
      <c r="G165">
        <f t="shared" si="16"/>
        <v>24.374020702774878</v>
      </c>
      <c r="H165">
        <f t="shared" si="17"/>
        <v>17.452597903978404</v>
      </c>
      <c r="I165">
        <f t="shared" si="18"/>
        <v>15.432472295309303</v>
      </c>
      <c r="J165">
        <f t="shared" si="19"/>
        <v>2.0201256086691011</v>
      </c>
      <c r="K165">
        <v>6.2899999320506994E-2</v>
      </c>
      <c r="L165">
        <v>306</v>
      </c>
      <c r="M165">
        <f t="shared" si="20"/>
        <v>5.7235851019523807</v>
      </c>
      <c r="N165" s="2">
        <v>0.59899999999999998</v>
      </c>
      <c r="O165">
        <v>-0.25203871726989702</v>
      </c>
      <c r="P165">
        <v>-0.666637182235718</v>
      </c>
    </row>
    <row r="166" spans="1:16" x14ac:dyDescent="0.25">
      <c r="A166" t="s">
        <v>15</v>
      </c>
      <c r="B166" s="1" t="s">
        <v>32</v>
      </c>
      <c r="C166">
        <v>2009</v>
      </c>
      <c r="D166">
        <v>37126148264.638298</v>
      </c>
      <c r="E166">
        <v>863107765.61574364</v>
      </c>
      <c r="F166">
        <v>5145327</v>
      </c>
      <c r="G166">
        <f t="shared" si="16"/>
        <v>24.337587363278189</v>
      </c>
      <c r="H166">
        <f t="shared" si="17"/>
        <v>20.576050114502838</v>
      </c>
      <c r="I166">
        <f t="shared" si="18"/>
        <v>15.453599482081948</v>
      </c>
      <c r="J166">
        <f t="shared" si="19"/>
        <v>5.1224506324208896</v>
      </c>
      <c r="K166">
        <v>5.6200001388788202E-2</v>
      </c>
      <c r="L166">
        <v>322</v>
      </c>
      <c r="M166">
        <f t="shared" si="20"/>
        <v>5.7745515455444085</v>
      </c>
      <c r="N166" s="2">
        <v>0.60599999999999998</v>
      </c>
      <c r="O166">
        <v>-0.216534748673439</v>
      </c>
      <c r="P166">
        <v>-0.53348213434219405</v>
      </c>
    </row>
    <row r="167" spans="1:16" x14ac:dyDescent="0.25">
      <c r="A167" t="s">
        <v>15</v>
      </c>
      <c r="B167" s="1" t="s">
        <v>32</v>
      </c>
      <c r="C167">
        <v>2010</v>
      </c>
      <c r="D167">
        <v>40676578423.487091</v>
      </c>
      <c r="E167">
        <v>758005098.43230832</v>
      </c>
      <c r="F167">
        <v>5253574</v>
      </c>
      <c r="G167">
        <f t="shared" si="16"/>
        <v>24.428918295038898</v>
      </c>
      <c r="H167">
        <f t="shared" si="17"/>
        <v>20.44620066974802</v>
      </c>
      <c r="I167">
        <f t="shared" si="18"/>
        <v>15.474419164859293</v>
      </c>
      <c r="J167">
        <f t="shared" si="19"/>
        <v>4.9717815048887264</v>
      </c>
      <c r="K167">
        <v>4.4210001826286302E-2</v>
      </c>
      <c r="L167">
        <v>374</v>
      </c>
      <c r="M167">
        <f t="shared" si="20"/>
        <v>5.9242557974145322</v>
      </c>
      <c r="N167" s="2">
        <v>0.61299999999999999</v>
      </c>
      <c r="O167">
        <v>-0.17224489152431499</v>
      </c>
      <c r="P167">
        <v>-0.54078441858291604</v>
      </c>
    </row>
    <row r="168" spans="1:16" x14ac:dyDescent="0.25">
      <c r="A168" t="s">
        <v>15</v>
      </c>
      <c r="B168" s="1" t="s">
        <v>32</v>
      </c>
      <c r="C168">
        <v>2011</v>
      </c>
      <c r="D168">
        <v>46876006272.238693</v>
      </c>
      <c r="E168">
        <v>1363817369.8573411</v>
      </c>
      <c r="F168">
        <v>5486770</v>
      </c>
      <c r="G168">
        <f t="shared" si="16"/>
        <v>24.570771788147663</v>
      </c>
      <c r="H168">
        <f t="shared" si="17"/>
        <v>21.03355349433674</v>
      </c>
      <c r="I168">
        <f t="shared" si="18"/>
        <v>15.517850297903584</v>
      </c>
      <c r="J168">
        <f t="shared" si="19"/>
        <v>5.5157031964331562</v>
      </c>
      <c r="K168">
        <v>4.8939999192953103E-2</v>
      </c>
      <c r="L168">
        <v>327</v>
      </c>
      <c r="M168">
        <f t="shared" si="20"/>
        <v>5.7899601708972535</v>
      </c>
      <c r="N168" s="2">
        <v>0.61699999999999999</v>
      </c>
      <c r="O168">
        <v>-0.211610183119774</v>
      </c>
      <c r="P168">
        <v>-0.537248194217682</v>
      </c>
    </row>
    <row r="169" spans="1:16" x14ac:dyDescent="0.25">
      <c r="A169" t="s">
        <v>15</v>
      </c>
      <c r="B169" s="1" t="s">
        <v>32</v>
      </c>
      <c r="C169">
        <v>2012</v>
      </c>
      <c r="D169">
        <v>49593929487.126297</v>
      </c>
      <c r="E169">
        <v>1074651479.1082778</v>
      </c>
      <c r="F169">
        <v>5980602</v>
      </c>
      <c r="G169">
        <f t="shared" si="16"/>
        <v>24.627134273814647</v>
      </c>
      <c r="H169">
        <f t="shared" si="17"/>
        <v>20.795262240479406</v>
      </c>
      <c r="I169">
        <f t="shared" si="18"/>
        <v>15.604031789756363</v>
      </c>
      <c r="J169">
        <f t="shared" si="19"/>
        <v>5.1912304507230438</v>
      </c>
      <c r="K169">
        <v>4.54300008714199E-2</v>
      </c>
      <c r="L169">
        <v>337</v>
      </c>
      <c r="M169">
        <f t="shared" si="20"/>
        <v>5.8200829303523616</v>
      </c>
      <c r="N169" s="2">
        <v>0.62</v>
      </c>
      <c r="O169">
        <v>-0.26300093531608598</v>
      </c>
      <c r="P169">
        <v>-0.67876255512237504</v>
      </c>
    </row>
    <row r="170" spans="1:16" x14ac:dyDescent="0.25">
      <c r="A170" t="s">
        <v>15</v>
      </c>
      <c r="B170" s="1" t="s">
        <v>32</v>
      </c>
      <c r="C170">
        <v>2013</v>
      </c>
      <c r="D170">
        <v>52996446269.442039</v>
      </c>
      <c r="E170">
        <v>1671357881.1971366</v>
      </c>
      <c r="F170">
        <v>5682211</v>
      </c>
      <c r="G170">
        <f t="shared" si="16"/>
        <v>24.693490696730517</v>
      </c>
      <c r="H170">
        <f t="shared" si="17"/>
        <v>21.236902235499564</v>
      </c>
      <c r="I170">
        <f t="shared" si="18"/>
        <v>15.552850975518476</v>
      </c>
      <c r="J170">
        <f t="shared" si="19"/>
        <v>5.6840512599810875</v>
      </c>
      <c r="K170">
        <v>3.9159998297691297E-2</v>
      </c>
      <c r="L170">
        <v>319</v>
      </c>
      <c r="M170">
        <f t="shared" si="20"/>
        <v>5.7651911027848444</v>
      </c>
      <c r="N170" s="2">
        <v>0.623</v>
      </c>
      <c r="O170">
        <v>-0.28711271286010698</v>
      </c>
      <c r="P170">
        <v>-0.63901066780090299</v>
      </c>
    </row>
    <row r="171" spans="1:16" x14ac:dyDescent="0.25">
      <c r="A171" t="s">
        <v>15</v>
      </c>
      <c r="B171" s="1" t="s">
        <v>32</v>
      </c>
      <c r="C171">
        <v>2014</v>
      </c>
      <c r="D171">
        <v>57852153058.501991</v>
      </c>
      <c r="E171">
        <v>2011293115.455781</v>
      </c>
      <c r="F171">
        <v>5883588</v>
      </c>
      <c r="G171">
        <f t="shared" si="16"/>
        <v>24.781156507845161</v>
      </c>
      <c r="H171">
        <f t="shared" si="17"/>
        <v>21.422043693185049</v>
      </c>
      <c r="I171">
        <f t="shared" si="18"/>
        <v>15.587677337857633</v>
      </c>
      <c r="J171">
        <f t="shared" si="19"/>
        <v>5.8343663553274165</v>
      </c>
      <c r="K171">
        <v>2.9489999637007699E-2</v>
      </c>
      <c r="L171">
        <v>288</v>
      </c>
      <c r="M171">
        <f t="shared" si="20"/>
        <v>5.6629604801359461</v>
      </c>
      <c r="N171" s="2">
        <v>0.64</v>
      </c>
      <c r="O171">
        <v>-0.28429007530212402</v>
      </c>
      <c r="P171">
        <v>-0.75613075494766202</v>
      </c>
    </row>
    <row r="172" spans="1:16" x14ac:dyDescent="0.25">
      <c r="A172" t="s">
        <v>15</v>
      </c>
      <c r="B172" s="1" t="s">
        <v>32</v>
      </c>
      <c r="C172">
        <v>2015</v>
      </c>
      <c r="D172">
        <v>62186064718.742386</v>
      </c>
      <c r="E172">
        <v>2857149519.6160846</v>
      </c>
      <c r="F172">
        <v>6022488</v>
      </c>
      <c r="G172">
        <f t="shared" si="16"/>
        <v>24.853396771699259</v>
      </c>
      <c r="H172">
        <f t="shared" si="17"/>
        <v>21.773090293307998</v>
      </c>
      <c r="I172">
        <f t="shared" si="18"/>
        <v>15.611011020941158</v>
      </c>
      <c r="J172">
        <f t="shared" si="19"/>
        <v>6.1620792723668405</v>
      </c>
      <c r="K172">
        <v>3.0640000477433201E-2</v>
      </c>
      <c r="L172">
        <v>341</v>
      </c>
      <c r="M172">
        <f t="shared" si="20"/>
        <v>5.8318824772835169</v>
      </c>
      <c r="N172" s="2">
        <v>0.629</v>
      </c>
      <c r="O172">
        <v>-0.32563725113868702</v>
      </c>
      <c r="P172">
        <v>-0.780903100967407</v>
      </c>
    </row>
    <row r="173" spans="1:16" x14ac:dyDescent="0.25">
      <c r="A173" t="s">
        <v>15</v>
      </c>
      <c r="B173" s="1" t="s">
        <v>32</v>
      </c>
      <c r="C173">
        <v>2016</v>
      </c>
      <c r="D173">
        <v>66053403469.002441</v>
      </c>
      <c r="E173">
        <v>3299638010.1571894</v>
      </c>
      <c r="F173">
        <v>6184488</v>
      </c>
      <c r="G173">
        <f t="shared" si="16"/>
        <v>24.913729395262472</v>
      </c>
      <c r="H173">
        <f t="shared" si="17"/>
        <v>21.91707860551027</v>
      </c>
      <c r="I173">
        <f t="shared" si="18"/>
        <v>15.637554779460611</v>
      </c>
      <c r="J173">
        <f t="shared" si="19"/>
        <v>6.2795238260496582</v>
      </c>
      <c r="K173">
        <v>2.3110000416636502E-2</v>
      </c>
      <c r="L173">
        <v>266</v>
      </c>
      <c r="M173">
        <f t="shared" si="20"/>
        <v>5.5834963087816991</v>
      </c>
      <c r="N173" s="2">
        <v>0.63300000000000001</v>
      </c>
      <c r="O173">
        <v>-0.29981479048728898</v>
      </c>
      <c r="P173">
        <v>-0.79091501235961903</v>
      </c>
    </row>
    <row r="174" spans="1:16" x14ac:dyDescent="0.25">
      <c r="A174" t="s">
        <v>15</v>
      </c>
      <c r="B174" s="1" t="s">
        <v>32</v>
      </c>
      <c r="C174">
        <v>2017</v>
      </c>
      <c r="D174">
        <v>71653754066.276276</v>
      </c>
      <c r="E174">
        <v>3236441538.2326937</v>
      </c>
      <c r="F174">
        <v>6364813</v>
      </c>
      <c r="G174">
        <f t="shared" si="16"/>
        <v>24.995111384352949</v>
      </c>
      <c r="H174">
        <f t="shared" si="17"/>
        <v>21.897740272518565</v>
      </c>
      <c r="I174">
        <f t="shared" si="18"/>
        <v>15.666295410123364</v>
      </c>
      <c r="J174">
        <f t="shared" si="19"/>
        <v>6.2314448623952003</v>
      </c>
      <c r="K174">
        <v>2.9549999162554699E-2</v>
      </c>
      <c r="L174">
        <v>275</v>
      </c>
      <c r="M174">
        <f t="shared" si="20"/>
        <v>5.6167710976665717</v>
      </c>
      <c r="N174" s="2">
        <v>0.63600000000000001</v>
      </c>
      <c r="O174">
        <v>-0.36976784467697099</v>
      </c>
      <c r="P174">
        <v>-0.78717160224914595</v>
      </c>
    </row>
    <row r="175" spans="1:16" x14ac:dyDescent="0.25">
      <c r="A175" t="s">
        <v>15</v>
      </c>
      <c r="B175" s="1" t="s">
        <v>32</v>
      </c>
      <c r="C175">
        <v>2018</v>
      </c>
      <c r="D175">
        <v>73328365862.432861</v>
      </c>
      <c r="E175">
        <v>2285934475.437108</v>
      </c>
      <c r="F175">
        <v>6472399</v>
      </c>
      <c r="G175">
        <f t="shared" si="16"/>
        <v>25.018213354096773</v>
      </c>
      <c r="H175">
        <f t="shared" si="17"/>
        <v>21.550040738494889</v>
      </c>
      <c r="I175">
        <f t="shared" si="18"/>
        <v>15.683057386005585</v>
      </c>
      <c r="J175">
        <f t="shared" si="19"/>
        <v>5.8669833524893047</v>
      </c>
      <c r="K175">
        <v>2.9379999265074699E-2</v>
      </c>
      <c r="L175">
        <v>228</v>
      </c>
      <c r="M175">
        <f t="shared" si="20"/>
        <v>5.4293456289544411</v>
      </c>
      <c r="N175" s="2">
        <v>0.64</v>
      </c>
      <c r="O175">
        <v>-0.29199951887130698</v>
      </c>
      <c r="P175">
        <v>-0.82169473171234098</v>
      </c>
    </row>
    <row r="176" spans="1:16" x14ac:dyDescent="0.25">
      <c r="A176" t="s">
        <v>15</v>
      </c>
      <c r="B176" s="1" t="s">
        <v>32</v>
      </c>
      <c r="C176">
        <v>2019</v>
      </c>
      <c r="D176">
        <v>77172317258.647797</v>
      </c>
      <c r="E176">
        <v>3115482158.7127366</v>
      </c>
      <c r="F176">
        <v>6481136</v>
      </c>
      <c r="G176">
        <f t="shared" si="16"/>
        <v>25.069306644937722</v>
      </c>
      <c r="H176">
        <f t="shared" si="17"/>
        <v>21.859649763311303</v>
      </c>
      <c r="I176">
        <f t="shared" si="18"/>
        <v>15.684406361605669</v>
      </c>
      <c r="J176">
        <f t="shared" si="19"/>
        <v>6.1752434017056341</v>
      </c>
      <c r="K176">
        <v>2.64199990779161E-2</v>
      </c>
      <c r="L176">
        <v>231</v>
      </c>
      <c r="M176">
        <f t="shared" si="20"/>
        <v>5.4424177105217932</v>
      </c>
      <c r="N176" s="2">
        <v>0.64500000000000002</v>
      </c>
      <c r="O176">
        <v>-0.33517915010452298</v>
      </c>
      <c r="P176">
        <v>-0.91539156436920199</v>
      </c>
    </row>
    <row r="177" spans="1:16" x14ac:dyDescent="0.25">
      <c r="A177" t="s">
        <v>15</v>
      </c>
      <c r="B177" s="1" t="s">
        <v>32</v>
      </c>
      <c r="C177">
        <v>2020</v>
      </c>
      <c r="D177">
        <v>77715183063.205399</v>
      </c>
      <c r="E177">
        <v>3927292871.3422647</v>
      </c>
      <c r="F177">
        <v>6460734</v>
      </c>
      <c r="G177">
        <f t="shared" si="16"/>
        <v>25.076316481449563</v>
      </c>
      <c r="H177">
        <f t="shared" si="17"/>
        <v>22.091216188661917</v>
      </c>
      <c r="I177">
        <f t="shared" si="18"/>
        <v>15.681253491595283</v>
      </c>
      <c r="J177">
        <f t="shared" si="19"/>
        <v>6.4099626970666339</v>
      </c>
      <c r="K177">
        <v>4.8879999667406103E-2</v>
      </c>
      <c r="L177">
        <v>205</v>
      </c>
      <c r="M177">
        <f t="shared" si="20"/>
        <v>5.3230099791384085</v>
      </c>
      <c r="N177" s="2">
        <v>0.63800000000000001</v>
      </c>
      <c r="O177">
        <v>-0.27050289511680597</v>
      </c>
      <c r="P177">
        <v>-1.1340026855468801</v>
      </c>
    </row>
    <row r="178" spans="1:16" x14ac:dyDescent="0.25">
      <c r="A178" t="s">
        <v>44</v>
      </c>
      <c r="B178" s="1" t="s">
        <v>40</v>
      </c>
      <c r="C178">
        <v>2005</v>
      </c>
      <c r="D178">
        <v>820383763511.44543</v>
      </c>
      <c r="E178">
        <v>264615848330.70395</v>
      </c>
      <c r="F178">
        <v>421959547</v>
      </c>
      <c r="G178">
        <f t="shared" si="16"/>
        <v>27.433038072007115</v>
      </c>
      <c r="H178">
        <f t="shared" si="17"/>
        <v>26.301544982263326</v>
      </c>
      <c r="I178">
        <f t="shared" si="18"/>
        <v>19.860420007215829</v>
      </c>
      <c r="J178">
        <f t="shared" si="19"/>
        <v>6.4411249750474973</v>
      </c>
      <c r="K178">
        <v>0.82410997152328502</v>
      </c>
      <c r="L178">
        <v>19661</v>
      </c>
      <c r="M178">
        <f t="shared" si="20"/>
        <v>9.8863922571074916</v>
      </c>
      <c r="N178" s="2">
        <v>0.53200000000000003</v>
      </c>
      <c r="O178">
        <v>-0.291889518499374</v>
      </c>
      <c r="P178">
        <v>-0.36316084861755399</v>
      </c>
    </row>
    <row r="179" spans="1:16" x14ac:dyDescent="0.25">
      <c r="A179" t="s">
        <v>44</v>
      </c>
      <c r="B179" s="1" t="s">
        <v>40</v>
      </c>
      <c r="C179">
        <v>2006</v>
      </c>
      <c r="D179">
        <v>940259888787.72144</v>
      </c>
      <c r="E179">
        <v>320511880599.78564</v>
      </c>
      <c r="F179">
        <v>431250073</v>
      </c>
      <c r="G179">
        <f t="shared" si="16"/>
        <v>27.569422151431365</v>
      </c>
      <c r="H179">
        <f t="shared" si="17"/>
        <v>26.493185181574187</v>
      </c>
      <c r="I179">
        <f t="shared" si="18"/>
        <v>19.882198695585192</v>
      </c>
      <c r="J179">
        <f t="shared" si="19"/>
        <v>6.6109864859889953</v>
      </c>
      <c r="K179">
        <v>0.80472999811172496</v>
      </c>
      <c r="L179">
        <v>23242</v>
      </c>
      <c r="M179">
        <f t="shared" si="20"/>
        <v>10.053716265782819</v>
      </c>
      <c r="N179" s="2">
        <v>0.54100000000000004</v>
      </c>
      <c r="O179">
        <v>-0.28331515192985501</v>
      </c>
      <c r="P179">
        <v>-0.27456280589103699</v>
      </c>
    </row>
    <row r="180" spans="1:16" x14ac:dyDescent="0.25">
      <c r="A180" t="s">
        <v>44</v>
      </c>
      <c r="B180" s="1" t="s">
        <v>40</v>
      </c>
      <c r="C180">
        <v>2007</v>
      </c>
      <c r="D180">
        <v>1216736438834.9553</v>
      </c>
      <c r="E180">
        <v>418282026390.67059</v>
      </c>
      <c r="F180">
        <v>440568412</v>
      </c>
      <c r="G180">
        <f t="shared" si="16"/>
        <v>27.827193340198196</v>
      </c>
      <c r="H180">
        <f t="shared" si="17"/>
        <v>26.759421746244463</v>
      </c>
      <c r="I180">
        <f t="shared" si="18"/>
        <v>19.90357629661673</v>
      </c>
      <c r="J180">
        <f t="shared" si="19"/>
        <v>6.8558454496277328</v>
      </c>
      <c r="K180">
        <v>0.80506998300552401</v>
      </c>
      <c r="L180">
        <v>28922</v>
      </c>
      <c r="M180">
        <f t="shared" si="20"/>
        <v>10.272357830174737</v>
      </c>
      <c r="N180" s="2">
        <v>0.55000000000000004</v>
      </c>
      <c r="O180">
        <v>-0.31371623277664201</v>
      </c>
      <c r="P180">
        <v>-0.39769029617309598</v>
      </c>
    </row>
    <row r="181" spans="1:16" x14ac:dyDescent="0.25">
      <c r="A181" t="s">
        <v>44</v>
      </c>
      <c r="B181" s="1" t="s">
        <v>40</v>
      </c>
      <c r="C181">
        <v>2008</v>
      </c>
      <c r="D181">
        <v>1198895139005.9189</v>
      </c>
      <c r="E181">
        <v>393054208950.34198</v>
      </c>
      <c r="F181">
        <v>449860965</v>
      </c>
      <c r="G181">
        <f t="shared" si="16"/>
        <v>27.812421531106732</v>
      </c>
      <c r="H181">
        <f t="shared" si="17"/>
        <v>26.697213375563752</v>
      </c>
      <c r="I181">
        <f t="shared" si="18"/>
        <v>19.924449126321939</v>
      </c>
      <c r="J181">
        <f t="shared" si="19"/>
        <v>6.7727642492418134</v>
      </c>
      <c r="K181">
        <v>0.85875999927520796</v>
      </c>
      <c r="L181">
        <v>30387</v>
      </c>
      <c r="M181">
        <f t="shared" si="20"/>
        <v>10.321770164354907</v>
      </c>
      <c r="N181" s="2">
        <v>0.55700000000000005</v>
      </c>
      <c r="O181">
        <v>-0.41364324092865001</v>
      </c>
      <c r="P181">
        <v>-0.33909797668456998</v>
      </c>
    </row>
    <row r="182" spans="1:16" x14ac:dyDescent="0.25">
      <c r="A182" t="s">
        <v>44</v>
      </c>
      <c r="B182" s="1" t="s">
        <v>40</v>
      </c>
      <c r="C182">
        <v>2009</v>
      </c>
      <c r="D182">
        <v>1341888016994.8982</v>
      </c>
      <c r="E182">
        <v>437193075465.31519</v>
      </c>
      <c r="F182">
        <v>459168942</v>
      </c>
      <c r="G182">
        <f t="shared" si="16"/>
        <v>27.925098706134101</v>
      </c>
      <c r="H182">
        <f t="shared" si="17"/>
        <v>26.80364075475492</v>
      </c>
      <c r="I182">
        <f t="shared" si="18"/>
        <v>19.944928765664859</v>
      </c>
      <c r="J182">
        <f t="shared" si="19"/>
        <v>6.858711989090061</v>
      </c>
      <c r="K182">
        <v>0.83314001560211204</v>
      </c>
      <c r="L182">
        <v>27025</v>
      </c>
      <c r="M182">
        <f t="shared" si="20"/>
        <v>10.204517642507408</v>
      </c>
      <c r="N182" s="2">
        <v>0.56200000000000006</v>
      </c>
      <c r="O182">
        <v>-0.34953325986862199</v>
      </c>
      <c r="P182">
        <v>-0.45240628719329801</v>
      </c>
    </row>
    <row r="183" spans="1:16" x14ac:dyDescent="0.25">
      <c r="A183" t="s">
        <v>44</v>
      </c>
      <c r="B183" s="1" t="s">
        <v>40</v>
      </c>
      <c r="C183">
        <v>2010</v>
      </c>
      <c r="D183">
        <v>1675615519484.959</v>
      </c>
      <c r="E183">
        <v>574192124058.11438</v>
      </c>
      <c r="F183">
        <v>468646281</v>
      </c>
      <c r="G183">
        <f t="shared" si="16"/>
        <v>28.147201688022804</v>
      </c>
      <c r="H183">
        <f t="shared" si="17"/>
        <v>27.076229888165418</v>
      </c>
      <c r="I183">
        <f t="shared" si="18"/>
        <v>19.965358843565696</v>
      </c>
      <c r="J183">
        <f t="shared" si="19"/>
        <v>7.1108710445997225</v>
      </c>
      <c r="K183">
        <v>0.78848999738693204</v>
      </c>
      <c r="L183">
        <v>30909</v>
      </c>
      <c r="M183">
        <f t="shared" si="20"/>
        <v>10.338802682613178</v>
      </c>
      <c r="N183" s="2">
        <v>0.57199999999999995</v>
      </c>
      <c r="O183">
        <v>-0.41047203540802002</v>
      </c>
      <c r="P183">
        <v>-0.46375456452369701</v>
      </c>
    </row>
    <row r="184" spans="1:16" x14ac:dyDescent="0.25">
      <c r="A184" t="s">
        <v>44</v>
      </c>
      <c r="B184" s="1" t="s">
        <v>40</v>
      </c>
      <c r="C184">
        <v>2011</v>
      </c>
      <c r="D184">
        <v>1823051829895.1328</v>
      </c>
      <c r="E184">
        <v>596289623190.20203</v>
      </c>
      <c r="F184">
        <v>472419461</v>
      </c>
      <c r="G184">
        <f t="shared" si="16"/>
        <v>28.231533042320827</v>
      </c>
      <c r="H184">
        <f t="shared" si="17"/>
        <v>27.113992330928752</v>
      </c>
      <c r="I184">
        <f t="shared" si="18"/>
        <v>19.973377837459271</v>
      </c>
      <c r="J184">
        <f t="shared" si="19"/>
        <v>7.1406144934694815</v>
      </c>
      <c r="K184">
        <v>0.75502002239227295</v>
      </c>
      <c r="L184">
        <v>33450</v>
      </c>
      <c r="M184">
        <f t="shared" si="20"/>
        <v>10.417807065556374</v>
      </c>
      <c r="N184" s="2">
        <v>0.58599999999999997</v>
      </c>
      <c r="O184">
        <v>-0.363154947757721</v>
      </c>
      <c r="P184">
        <v>-0.54083585739135698</v>
      </c>
    </row>
    <row r="185" spans="1:16" x14ac:dyDescent="0.25">
      <c r="A185" t="s">
        <v>44</v>
      </c>
      <c r="B185" s="1" t="s">
        <v>40</v>
      </c>
      <c r="C185">
        <v>2012</v>
      </c>
      <c r="D185">
        <v>1827637590410.9526</v>
      </c>
      <c r="E185">
        <v>600473802454.71582</v>
      </c>
      <c r="F185">
        <v>476025371</v>
      </c>
      <c r="G185">
        <f t="shared" si="16"/>
        <v>28.234045314606842</v>
      </c>
      <c r="H185">
        <f t="shared" si="17"/>
        <v>27.120984851294509</v>
      </c>
      <c r="I185">
        <f t="shared" si="18"/>
        <v>19.980981711195444</v>
      </c>
      <c r="J185">
        <f t="shared" si="19"/>
        <v>7.1400031400990649</v>
      </c>
      <c r="K185">
        <v>0.74399000406265303</v>
      </c>
      <c r="L185">
        <v>34402</v>
      </c>
      <c r="M185">
        <f t="shared" si="20"/>
        <v>10.445869981206336</v>
      </c>
      <c r="N185" s="2">
        <v>0.59399999999999997</v>
      </c>
      <c r="O185">
        <v>-0.48088562488555903</v>
      </c>
      <c r="P185">
        <v>-0.51396811008453402</v>
      </c>
    </row>
    <row r="186" spans="1:16" x14ac:dyDescent="0.25">
      <c r="A186" t="s">
        <v>44</v>
      </c>
      <c r="B186" s="1" t="s">
        <v>40</v>
      </c>
      <c r="C186">
        <v>2013</v>
      </c>
      <c r="D186">
        <v>1856721507621.4607</v>
      </c>
      <c r="E186">
        <v>595247717779.74976</v>
      </c>
      <c r="F186">
        <v>483634725</v>
      </c>
      <c r="G186">
        <f t="shared" si="16"/>
        <v>28.249833418081973</v>
      </c>
      <c r="H186">
        <f t="shared" si="17"/>
        <v>27.112243488252695</v>
      </c>
      <c r="I186">
        <f t="shared" si="18"/>
        <v>19.996840479337958</v>
      </c>
      <c r="J186">
        <f t="shared" si="19"/>
        <v>7.1154030089147362</v>
      </c>
      <c r="K186">
        <v>0.70642000436782804</v>
      </c>
      <c r="L186">
        <v>32362</v>
      </c>
      <c r="M186">
        <f t="shared" si="20"/>
        <v>10.384740173959754</v>
      </c>
      <c r="N186" s="2">
        <v>0.6</v>
      </c>
      <c r="O186">
        <v>-0.47809478640556302</v>
      </c>
      <c r="P186">
        <v>-0.51708573102951105</v>
      </c>
    </row>
    <row r="187" spans="1:16" x14ac:dyDescent="0.25">
      <c r="A187" t="s">
        <v>44</v>
      </c>
      <c r="B187" s="1" t="s">
        <v>40</v>
      </c>
      <c r="C187">
        <v>2014</v>
      </c>
      <c r="D187">
        <v>2039126479155.269</v>
      </c>
      <c r="E187">
        <v>640926532189.4126</v>
      </c>
      <c r="F187">
        <v>490933119</v>
      </c>
      <c r="G187">
        <f t="shared" si="16"/>
        <v>28.343542635589863</v>
      </c>
      <c r="H187">
        <f t="shared" si="17"/>
        <v>27.186180672929261</v>
      </c>
      <c r="I187">
        <f t="shared" si="18"/>
        <v>20.01181846263156</v>
      </c>
      <c r="J187">
        <f t="shared" si="19"/>
        <v>7.1743622102977014</v>
      </c>
      <c r="K187">
        <v>0.70159000158309903</v>
      </c>
      <c r="L187">
        <v>30814</v>
      </c>
      <c r="M187">
        <f t="shared" si="20"/>
        <v>10.335724411141721</v>
      </c>
      <c r="N187" s="2">
        <v>0.61099999999999999</v>
      </c>
      <c r="O187">
        <v>-0.47507643699646002</v>
      </c>
      <c r="P187">
        <v>-0.45715510845184298</v>
      </c>
    </row>
    <row r="188" spans="1:16" x14ac:dyDescent="0.25">
      <c r="A188" t="s">
        <v>44</v>
      </c>
      <c r="B188" s="1" t="s">
        <v>40</v>
      </c>
      <c r="C188">
        <v>2015</v>
      </c>
      <c r="D188">
        <v>2103588360044.3894</v>
      </c>
      <c r="E188">
        <v>642949754202.55261</v>
      </c>
      <c r="F188">
        <v>497800426</v>
      </c>
      <c r="G188">
        <f t="shared" si="16"/>
        <v>28.374665745296028</v>
      </c>
      <c r="H188">
        <f t="shared" si="17"/>
        <v>27.189332415366422</v>
      </c>
      <c r="I188">
        <f t="shared" si="18"/>
        <v>20.025709803662767</v>
      </c>
      <c r="J188">
        <f t="shared" si="19"/>
        <v>7.163622611703655</v>
      </c>
      <c r="K188">
        <v>0.69309997558593806</v>
      </c>
      <c r="L188">
        <v>33079</v>
      </c>
      <c r="M188">
        <f t="shared" si="20"/>
        <v>10.40665391893463</v>
      </c>
      <c r="N188" s="2">
        <v>0.61899999999999999</v>
      </c>
      <c r="O188">
        <v>-0.42495670914650002</v>
      </c>
      <c r="P188">
        <v>-0.40617060661315901</v>
      </c>
    </row>
    <row r="189" spans="1:16" x14ac:dyDescent="0.25">
      <c r="A189" t="s">
        <v>44</v>
      </c>
      <c r="B189" s="1" t="s">
        <v>40</v>
      </c>
      <c r="C189">
        <v>2016</v>
      </c>
      <c r="D189">
        <v>2294796885663.6699</v>
      </c>
      <c r="E189">
        <v>697530378412.18237</v>
      </c>
      <c r="F189">
        <v>504122684</v>
      </c>
      <c r="G189">
        <f t="shared" si="16"/>
        <v>28.461665452545645</v>
      </c>
      <c r="H189">
        <f t="shared" si="17"/>
        <v>27.270811902972628</v>
      </c>
      <c r="I189">
        <f t="shared" si="18"/>
        <v>20.038330217048568</v>
      </c>
      <c r="J189">
        <f t="shared" si="19"/>
        <v>7.2324816859240606</v>
      </c>
      <c r="K189">
        <v>0.66983997821807895</v>
      </c>
      <c r="L189">
        <v>31858</v>
      </c>
      <c r="M189">
        <f t="shared" si="20"/>
        <v>10.369043806854583</v>
      </c>
      <c r="N189" s="2">
        <v>0.63</v>
      </c>
      <c r="O189">
        <v>-0.31153193116187999</v>
      </c>
      <c r="P189">
        <v>-0.336941868066788</v>
      </c>
    </row>
    <row r="190" spans="1:16" x14ac:dyDescent="0.25">
      <c r="A190" t="s">
        <v>44</v>
      </c>
      <c r="B190" s="1" t="s">
        <v>40</v>
      </c>
      <c r="C190">
        <v>2017</v>
      </c>
      <c r="D190">
        <v>2651474262755.5918</v>
      </c>
      <c r="E190">
        <v>808902524219.10156</v>
      </c>
      <c r="F190">
        <v>510055221</v>
      </c>
      <c r="G190">
        <f t="shared" si="16"/>
        <v>28.606136926803128</v>
      </c>
      <c r="H190">
        <f t="shared" si="17"/>
        <v>27.418944257523123</v>
      </c>
      <c r="I190">
        <f t="shared" si="18"/>
        <v>20.050029554291761</v>
      </c>
      <c r="J190">
        <f t="shared" si="19"/>
        <v>7.3689147032313613</v>
      </c>
      <c r="K190">
        <v>0.66602998971939098</v>
      </c>
      <c r="L190">
        <v>31621</v>
      </c>
      <c r="M190">
        <f t="shared" si="20"/>
        <v>10.361576735816833</v>
      </c>
      <c r="N190" s="2">
        <v>0.63600000000000001</v>
      </c>
      <c r="O190">
        <v>-0.256514042615891</v>
      </c>
      <c r="P190">
        <v>-0.29145154356956499</v>
      </c>
    </row>
    <row r="191" spans="1:16" x14ac:dyDescent="0.25">
      <c r="A191" t="s">
        <v>44</v>
      </c>
      <c r="B191" s="1" t="s">
        <v>40</v>
      </c>
      <c r="C191">
        <v>2018</v>
      </c>
      <c r="D191">
        <v>2702929641648.1401</v>
      </c>
      <c r="E191">
        <v>807864008599.90063</v>
      </c>
      <c r="F191">
        <v>515366255</v>
      </c>
      <c r="G191">
        <f t="shared" si="16"/>
        <v>28.62535735315716</v>
      </c>
      <c r="H191">
        <f t="shared" si="17"/>
        <v>27.41765957511419</v>
      </c>
      <c r="I191">
        <f t="shared" si="18"/>
        <v>20.060388380620356</v>
      </c>
      <c r="J191">
        <f t="shared" si="19"/>
        <v>7.3572711944938334</v>
      </c>
      <c r="K191">
        <v>0.66000998020172097</v>
      </c>
      <c r="L191">
        <v>33766</v>
      </c>
      <c r="M191">
        <f t="shared" si="20"/>
        <v>10.427209658037139</v>
      </c>
      <c r="N191" s="2">
        <v>0.63600000000000001</v>
      </c>
      <c r="O191">
        <v>-0.22599673271179199</v>
      </c>
      <c r="P191">
        <v>-0.229412421584129</v>
      </c>
    </row>
    <row r="192" spans="1:16" x14ac:dyDescent="0.25">
      <c r="A192" t="s">
        <v>44</v>
      </c>
      <c r="B192" s="1" t="s">
        <v>40</v>
      </c>
      <c r="C192">
        <v>2019</v>
      </c>
      <c r="D192">
        <v>2835606256558.8438</v>
      </c>
      <c r="E192">
        <v>796409418098.172</v>
      </c>
      <c r="F192">
        <v>520273563</v>
      </c>
      <c r="G192">
        <f t="shared" si="16"/>
        <v>28.673276877356933</v>
      </c>
      <c r="H192">
        <f t="shared" si="17"/>
        <v>27.403379234905518</v>
      </c>
      <c r="I192">
        <f t="shared" si="18"/>
        <v>20.069865313899069</v>
      </c>
      <c r="J192">
        <f t="shared" si="19"/>
        <v>7.3335139210064497</v>
      </c>
      <c r="K192">
        <v>0.65942001342773404</v>
      </c>
      <c r="L192">
        <v>34173</v>
      </c>
      <c r="M192">
        <f t="shared" si="20"/>
        <v>10.439191137568022</v>
      </c>
      <c r="N192" s="2">
        <v>0.63800000000000001</v>
      </c>
      <c r="O192">
        <v>-0.150565445423126</v>
      </c>
      <c r="P192">
        <v>-0.30220529437065102</v>
      </c>
    </row>
    <row r="193" spans="1:16" x14ac:dyDescent="0.25">
      <c r="A193" t="s">
        <v>44</v>
      </c>
      <c r="B193" s="1" t="s">
        <v>40</v>
      </c>
      <c r="C193">
        <v>2020</v>
      </c>
      <c r="D193">
        <v>2674851578586.8647</v>
      </c>
      <c r="E193">
        <v>729951451674.16418</v>
      </c>
      <c r="F193">
        <v>520521842</v>
      </c>
      <c r="G193">
        <f t="shared" si="16"/>
        <v>28.614915010096762</v>
      </c>
      <c r="H193">
        <f t="shared" si="17"/>
        <v>27.316243864321383</v>
      </c>
      <c r="I193">
        <f t="shared" si="18"/>
        <v>20.070342408635494</v>
      </c>
      <c r="J193">
        <f t="shared" si="19"/>
        <v>7.2459014556858889</v>
      </c>
      <c r="K193">
        <v>0.64635998010635398</v>
      </c>
      <c r="L193">
        <v>33630</v>
      </c>
      <c r="M193">
        <f t="shared" si="20"/>
        <v>10.423173804734315</v>
      </c>
      <c r="N193" s="2">
        <v>0.63800000000000001</v>
      </c>
      <c r="O193">
        <v>-0.128488674759865</v>
      </c>
      <c r="P193">
        <v>-0.292916029691696</v>
      </c>
    </row>
    <row r="194" spans="1:16" x14ac:dyDescent="0.25">
      <c r="A194" t="s">
        <v>68</v>
      </c>
      <c r="B194" s="1" t="s">
        <v>31</v>
      </c>
      <c r="C194">
        <v>2005</v>
      </c>
      <c r="D194">
        <v>57123671733.895248</v>
      </c>
      <c r="E194">
        <v>22217966586.393738</v>
      </c>
      <c r="F194">
        <v>7926592</v>
      </c>
      <c r="G194">
        <f t="shared" si="16"/>
        <v>24.768484433967391</v>
      </c>
      <c r="H194">
        <f t="shared" si="17"/>
        <v>23.82416710420679</v>
      </c>
      <c r="I194">
        <f t="shared" si="18"/>
        <v>15.885733740834031</v>
      </c>
      <c r="J194">
        <f t="shared" si="19"/>
        <v>7.9384333633727593</v>
      </c>
      <c r="K194">
        <v>0.28360998630523698</v>
      </c>
      <c r="L194">
        <v>103</v>
      </c>
      <c r="M194">
        <f t="shared" si="20"/>
        <v>4.6347289882296359</v>
      </c>
      <c r="N194" s="2">
        <v>0.73899999999999999</v>
      </c>
      <c r="O194">
        <v>-0.28120756149291998</v>
      </c>
      <c r="P194">
        <v>-1.0149633884429901</v>
      </c>
    </row>
    <row r="195" spans="1:16" x14ac:dyDescent="0.25">
      <c r="A195" t="s">
        <v>68</v>
      </c>
      <c r="B195" s="1" t="s">
        <v>31</v>
      </c>
      <c r="C195">
        <v>2006</v>
      </c>
      <c r="D195">
        <v>81003864630.018036</v>
      </c>
      <c r="E195">
        <v>35720641010.744194</v>
      </c>
      <c r="F195">
        <v>8071657</v>
      </c>
      <c r="G195">
        <f t="shared" si="16"/>
        <v>25.117762701962398</v>
      </c>
      <c r="H195">
        <f t="shared" si="17"/>
        <v>24.298994538223262</v>
      </c>
      <c r="I195">
        <f t="shared" si="18"/>
        <v>15.90386934754585</v>
      </c>
      <c r="J195">
        <f t="shared" si="19"/>
        <v>8.3951251906774118</v>
      </c>
      <c r="K195">
        <v>0.24280999600887301</v>
      </c>
      <c r="L195">
        <v>124</v>
      </c>
      <c r="M195">
        <f t="shared" si="20"/>
        <v>4.8202815656050371</v>
      </c>
      <c r="N195" s="2">
        <v>0.75</v>
      </c>
      <c r="O195">
        <v>-0.34330832958221402</v>
      </c>
      <c r="P195">
        <v>-0.99514263868331898</v>
      </c>
    </row>
    <row r="196" spans="1:16" x14ac:dyDescent="0.25">
      <c r="A196" t="s">
        <v>68</v>
      </c>
      <c r="B196" s="1" t="s">
        <v>31</v>
      </c>
      <c r="C196">
        <v>2007</v>
      </c>
      <c r="D196">
        <v>104849915058.37578</v>
      </c>
      <c r="E196">
        <v>45971095376.952789</v>
      </c>
      <c r="F196">
        <v>8262978</v>
      </c>
      <c r="G196">
        <f t="shared" si="16"/>
        <v>25.37579578416884</v>
      </c>
      <c r="H196">
        <f t="shared" si="17"/>
        <v>24.551278674563168</v>
      </c>
      <c r="I196">
        <f t="shared" si="18"/>
        <v>15.927295613208519</v>
      </c>
      <c r="J196">
        <f t="shared" si="19"/>
        <v>8.6239830613546484</v>
      </c>
      <c r="K196">
        <v>0.208839997649193</v>
      </c>
      <c r="L196">
        <v>194</v>
      </c>
      <c r="M196">
        <f t="shared" si="20"/>
        <v>5.2678581590633282</v>
      </c>
      <c r="N196" s="2">
        <v>0.75700000000000001</v>
      </c>
      <c r="O196">
        <v>-0.35090762376785301</v>
      </c>
      <c r="P196">
        <v>-0.99224472045898404</v>
      </c>
    </row>
    <row r="197" spans="1:16" x14ac:dyDescent="0.25">
      <c r="A197" t="s">
        <v>68</v>
      </c>
      <c r="B197" s="1" t="s">
        <v>31</v>
      </c>
      <c r="C197">
        <v>2008</v>
      </c>
      <c r="D197">
        <v>133441648851.9825</v>
      </c>
      <c r="E197">
        <v>60582100290.021126</v>
      </c>
      <c r="F197">
        <v>8502563</v>
      </c>
      <c r="G197">
        <f t="shared" si="16"/>
        <v>25.616930131985171</v>
      </c>
      <c r="H197">
        <f t="shared" si="17"/>
        <v>24.827265311637838</v>
      </c>
      <c r="I197">
        <f t="shared" si="18"/>
        <v>15.955878205421453</v>
      </c>
      <c r="J197">
        <f t="shared" si="19"/>
        <v>8.8713871062163854</v>
      </c>
      <c r="K197">
        <v>0.21653999388217901</v>
      </c>
      <c r="L197">
        <v>189</v>
      </c>
      <c r="M197">
        <f t="shared" si="20"/>
        <v>5.2417470150596426</v>
      </c>
      <c r="N197" s="2">
        <v>0.75700000000000001</v>
      </c>
      <c r="O197">
        <v>-0.29438069462776201</v>
      </c>
      <c r="P197">
        <v>-0.98064148426055897</v>
      </c>
    </row>
    <row r="198" spans="1:16" x14ac:dyDescent="0.25">
      <c r="A198" t="s">
        <v>68</v>
      </c>
      <c r="B198" s="1" t="s">
        <v>31</v>
      </c>
      <c r="C198">
        <v>2009</v>
      </c>
      <c r="D198">
        <v>115308686941.38017</v>
      </c>
      <c r="E198">
        <v>47062380738.406784</v>
      </c>
      <c r="F198">
        <v>8642962</v>
      </c>
      <c r="G198">
        <f t="shared" si="16"/>
        <v>25.470878603459504</v>
      </c>
      <c r="H198">
        <f t="shared" si="17"/>
        <v>24.574739808392433</v>
      </c>
      <c r="I198">
        <f t="shared" si="18"/>
        <v>15.972255906103566</v>
      </c>
      <c r="J198">
        <f t="shared" si="19"/>
        <v>8.6024839022888671</v>
      </c>
      <c r="K198">
        <v>0.22924000024795499</v>
      </c>
      <c r="L198">
        <v>314</v>
      </c>
      <c r="M198">
        <f t="shared" si="20"/>
        <v>5.7493929859082531</v>
      </c>
      <c r="N198" s="2">
        <v>0.76</v>
      </c>
      <c r="O198">
        <v>-0.26826432347297702</v>
      </c>
      <c r="P198">
        <v>-0.9315185546875</v>
      </c>
    </row>
    <row r="199" spans="1:16" x14ac:dyDescent="0.25">
      <c r="A199" t="s">
        <v>68</v>
      </c>
      <c r="B199" s="1" t="s">
        <v>31</v>
      </c>
      <c r="C199">
        <v>2010</v>
      </c>
      <c r="D199">
        <v>148047348240.64334</v>
      </c>
      <c r="E199">
        <v>64855358148.688545</v>
      </c>
      <c r="F199">
        <v>8725678</v>
      </c>
      <c r="G199">
        <f t="shared" si="16"/>
        <v>25.720797980091749</v>
      </c>
      <c r="H199">
        <f t="shared" si="17"/>
        <v>24.895425368022597</v>
      </c>
      <c r="I199">
        <f t="shared" si="18"/>
        <v>15.981780730770065</v>
      </c>
      <c r="J199">
        <f t="shared" si="19"/>
        <v>8.9136446372525313</v>
      </c>
      <c r="K199">
        <v>0.15341000258922599</v>
      </c>
      <c r="L199">
        <v>273</v>
      </c>
      <c r="M199">
        <f t="shared" si="20"/>
        <v>5.6094717951849598</v>
      </c>
      <c r="N199" s="2">
        <v>0.76600000000000001</v>
      </c>
      <c r="O199">
        <v>-0.28309416770935097</v>
      </c>
      <c r="P199">
        <v>-1.00106000900269</v>
      </c>
    </row>
    <row r="200" spans="1:16" x14ac:dyDescent="0.25">
      <c r="A200" t="s">
        <v>68</v>
      </c>
      <c r="B200" s="1" t="s">
        <v>31</v>
      </c>
      <c r="C200">
        <v>2011</v>
      </c>
      <c r="D200">
        <v>192626464617.07117</v>
      </c>
      <c r="E200">
        <v>91175760132.258972</v>
      </c>
      <c r="F200">
        <v>8798238</v>
      </c>
      <c r="G200">
        <f t="shared" si="16"/>
        <v>25.98401873402084</v>
      </c>
      <c r="H200">
        <f t="shared" si="17"/>
        <v>25.236054910675325</v>
      </c>
      <c r="I200">
        <f t="shared" si="18"/>
        <v>15.99006203212755</v>
      </c>
      <c r="J200">
        <f t="shared" si="19"/>
        <v>9.2459928785477743</v>
      </c>
      <c r="K200">
        <v>0.15349000692367601</v>
      </c>
      <c r="L200">
        <v>317</v>
      </c>
      <c r="M200">
        <f t="shared" si="20"/>
        <v>5.7589017738772803</v>
      </c>
      <c r="N200" s="2">
        <v>0.77400000000000002</v>
      </c>
      <c r="O200">
        <v>-0.23538577556610099</v>
      </c>
      <c r="P200">
        <v>-0.99668490886688199</v>
      </c>
    </row>
    <row r="201" spans="1:16" x14ac:dyDescent="0.25">
      <c r="A201" t="s">
        <v>68</v>
      </c>
      <c r="B201" s="1" t="s">
        <v>31</v>
      </c>
      <c r="C201">
        <v>2013</v>
      </c>
      <c r="D201">
        <v>236634603409.08856</v>
      </c>
      <c r="E201">
        <v>94488325174.356613</v>
      </c>
      <c r="F201">
        <v>8913429</v>
      </c>
      <c r="G201">
        <f t="shared" si="16"/>
        <v>26.189783030582468</v>
      </c>
      <c r="H201">
        <f t="shared" si="17"/>
        <v>25.271742120685527</v>
      </c>
      <c r="I201">
        <f t="shared" si="18"/>
        <v>16.003069573896656</v>
      </c>
      <c r="J201">
        <f t="shared" si="19"/>
        <v>9.2686725467888706</v>
      </c>
      <c r="K201">
        <v>0.17132000625133501</v>
      </c>
      <c r="L201">
        <v>378</v>
      </c>
      <c r="M201">
        <f t="shared" si="20"/>
        <v>5.934894195619588</v>
      </c>
      <c r="N201" s="2">
        <v>0.78900000000000003</v>
      </c>
      <c r="O201">
        <v>-0.375282853841782</v>
      </c>
      <c r="P201">
        <v>-0.93091529607772805</v>
      </c>
    </row>
    <row r="202" spans="1:16" x14ac:dyDescent="0.25">
      <c r="A202" t="s">
        <v>68</v>
      </c>
      <c r="B202" s="1" t="s">
        <v>31</v>
      </c>
      <c r="C202">
        <v>2014</v>
      </c>
      <c r="D202">
        <v>221415613595.46927</v>
      </c>
      <c r="E202">
        <v>90399166831.792465</v>
      </c>
      <c r="F202">
        <v>8968071</v>
      </c>
      <c r="G202">
        <f t="shared" si="16"/>
        <v>26.123307376845805</v>
      </c>
      <c r="H202">
        <f t="shared" si="17"/>
        <v>25.227500887839597</v>
      </c>
      <c r="I202">
        <f t="shared" si="18"/>
        <v>16.009181160741154</v>
      </c>
      <c r="J202">
        <f t="shared" si="19"/>
        <v>9.2183197270984429</v>
      </c>
      <c r="K202">
        <v>0.16721999645233199</v>
      </c>
      <c r="L202">
        <v>271</v>
      </c>
      <c r="M202">
        <f t="shared" si="20"/>
        <v>5.602118820879701</v>
      </c>
      <c r="N202" s="2">
        <v>0.79400000000000004</v>
      </c>
      <c r="O202">
        <v>-0.23912556469440499</v>
      </c>
      <c r="P202">
        <v>-0.82542943954467796</v>
      </c>
    </row>
    <row r="203" spans="1:16" x14ac:dyDescent="0.25">
      <c r="A203" t="s">
        <v>68</v>
      </c>
      <c r="B203" s="1" t="s">
        <v>31</v>
      </c>
      <c r="C203">
        <v>2015</v>
      </c>
      <c r="D203">
        <v>184388404706.04178</v>
      </c>
      <c r="E203">
        <v>63889586000.720985</v>
      </c>
      <c r="F203">
        <v>9019041</v>
      </c>
      <c r="G203">
        <f t="shared" si="16"/>
        <v>25.940310264888122</v>
      </c>
      <c r="H203">
        <f t="shared" si="17"/>
        <v>24.880422211663646</v>
      </c>
      <c r="I203">
        <f t="shared" si="18"/>
        <v>16.014848567096045</v>
      </c>
      <c r="J203">
        <f t="shared" si="19"/>
        <v>8.8655736445676006</v>
      </c>
      <c r="K203">
        <v>0.169510006904602</v>
      </c>
      <c r="L203">
        <v>232</v>
      </c>
      <c r="M203">
        <f t="shared" si="20"/>
        <v>5.4467373716663099</v>
      </c>
      <c r="N203" s="2">
        <v>0.79900000000000004</v>
      </c>
      <c r="O203">
        <v>-9.0694651007652297E-2</v>
      </c>
      <c r="P203">
        <v>-0.87141501903533902</v>
      </c>
    </row>
    <row r="204" spans="1:16" x14ac:dyDescent="0.25">
      <c r="A204" t="s">
        <v>68</v>
      </c>
      <c r="B204" s="1" t="s">
        <v>31</v>
      </c>
      <c r="C204">
        <v>2016</v>
      </c>
      <c r="D204">
        <v>137278320084.17114</v>
      </c>
      <c r="E204">
        <v>46434157996.259056</v>
      </c>
      <c r="F204">
        <v>9066824</v>
      </c>
      <c r="G204">
        <f t="shared" si="16"/>
        <v>25.645276235462084</v>
      </c>
      <c r="H204">
        <f t="shared" si="17"/>
        <v>24.561301189055506</v>
      </c>
      <c r="I204">
        <f t="shared" si="18"/>
        <v>16.020132595388731</v>
      </c>
      <c r="J204">
        <f t="shared" si="19"/>
        <v>8.5411685936667752</v>
      </c>
      <c r="K204">
        <v>0.14179000258445701</v>
      </c>
      <c r="L204">
        <v>231</v>
      </c>
      <c r="M204">
        <f t="shared" si="20"/>
        <v>5.4424177105217932</v>
      </c>
      <c r="N204" s="2">
        <v>0.79700000000000004</v>
      </c>
      <c r="O204">
        <v>-0.16123045980930301</v>
      </c>
      <c r="P204">
        <v>-0.83190721273422197</v>
      </c>
    </row>
    <row r="205" spans="1:16" x14ac:dyDescent="0.25">
      <c r="A205" t="s">
        <v>68</v>
      </c>
      <c r="B205" s="1" t="s">
        <v>31</v>
      </c>
      <c r="C205">
        <v>2017</v>
      </c>
      <c r="D205">
        <v>166805788827.23325</v>
      </c>
      <c r="E205">
        <v>61511423539.305901</v>
      </c>
      <c r="F205">
        <v>9113763</v>
      </c>
      <c r="G205">
        <f t="shared" si="16"/>
        <v>25.840096031468086</v>
      </c>
      <c r="H205">
        <f t="shared" si="17"/>
        <v>24.842488743116348</v>
      </c>
      <c r="I205">
        <f t="shared" si="18"/>
        <v>16.02529624651789</v>
      </c>
      <c r="J205">
        <f t="shared" si="19"/>
        <v>8.8171924965984587</v>
      </c>
      <c r="K205">
        <v>0.12667000293731701</v>
      </c>
      <c r="L205">
        <v>173</v>
      </c>
      <c r="M205">
        <f t="shared" si="20"/>
        <v>5.1532915944977793</v>
      </c>
      <c r="N205" s="2">
        <v>0.80200000000000005</v>
      </c>
      <c r="O205">
        <v>0.15488900244236001</v>
      </c>
      <c r="P205">
        <v>-0.83926582336425803</v>
      </c>
    </row>
    <row r="206" spans="1:16" x14ac:dyDescent="0.25">
      <c r="A206" t="s">
        <v>68</v>
      </c>
      <c r="B206" s="1" t="s">
        <v>31</v>
      </c>
      <c r="C206">
        <v>2018</v>
      </c>
      <c r="D206">
        <v>179339977690.48486</v>
      </c>
      <c r="E206">
        <v>70984086596.527084</v>
      </c>
      <c r="F206">
        <v>9164074</v>
      </c>
      <c r="G206">
        <f t="shared" si="16"/>
        <v>25.91254915807243</v>
      </c>
      <c r="H206">
        <f t="shared" si="17"/>
        <v>24.985721556423016</v>
      </c>
      <c r="I206">
        <f t="shared" si="18"/>
        <v>16.030801397599305</v>
      </c>
      <c r="J206">
        <f t="shared" si="19"/>
        <v>8.9549201588237111</v>
      </c>
      <c r="K206">
        <v>0.116829998791218</v>
      </c>
      <c r="L206">
        <v>193</v>
      </c>
      <c r="M206">
        <f t="shared" si="20"/>
        <v>5.2626901889048856</v>
      </c>
      <c r="N206" s="2">
        <v>0.80400000000000005</v>
      </c>
      <c r="O206">
        <v>9.4623871147632599E-2</v>
      </c>
      <c r="P206">
        <v>-0.49207738041877702</v>
      </c>
    </row>
    <row r="207" spans="1:16" x14ac:dyDescent="0.25">
      <c r="A207" t="s">
        <v>68</v>
      </c>
      <c r="B207" s="1" t="s">
        <v>31</v>
      </c>
      <c r="C207">
        <v>2020</v>
      </c>
      <c r="D207">
        <v>171082365861.42291</v>
      </c>
      <c r="E207">
        <v>58602657894.03376</v>
      </c>
      <c r="F207">
        <v>9183306</v>
      </c>
      <c r="G207">
        <f t="shared" si="16"/>
        <v>25.865410949186721</v>
      </c>
      <c r="H207">
        <f t="shared" si="17"/>
        <v>24.794045889054278</v>
      </c>
      <c r="I207">
        <f t="shared" si="18"/>
        <v>16.032897828484124</v>
      </c>
      <c r="J207">
        <f t="shared" si="19"/>
        <v>8.7611480605701537</v>
      </c>
      <c r="K207">
        <v>0.12601999938488001</v>
      </c>
      <c r="L207">
        <v>97</v>
      </c>
      <c r="M207">
        <f t="shared" si="20"/>
        <v>4.5747109785033828</v>
      </c>
      <c r="N207" s="2">
        <v>0.80600000000000005</v>
      </c>
      <c r="O207">
        <v>0.10614655166864401</v>
      </c>
      <c r="P207">
        <v>-0.37790650129318198</v>
      </c>
    </row>
    <row r="208" spans="1:16" x14ac:dyDescent="0.25">
      <c r="A208" t="s">
        <v>38</v>
      </c>
      <c r="B208" s="1" t="s">
        <v>42</v>
      </c>
      <c r="C208">
        <v>2009</v>
      </c>
      <c r="D208">
        <v>4690061380.6025286</v>
      </c>
      <c r="E208">
        <v>154204347.98457992</v>
      </c>
      <c r="F208">
        <v>2640619</v>
      </c>
      <c r="G208">
        <f t="shared" si="16"/>
        <v>22.268711506867472</v>
      </c>
      <c r="H208">
        <f t="shared" si="17"/>
        <v>18.853789215742538</v>
      </c>
      <c r="I208">
        <f t="shared" si="18"/>
        <v>14.786523917335746</v>
      </c>
      <c r="J208">
        <f t="shared" si="19"/>
        <v>4.0672652984067916</v>
      </c>
      <c r="K208">
        <v>0.15997000038623799</v>
      </c>
      <c r="L208">
        <v>3</v>
      </c>
      <c r="M208">
        <f t="shared" si="20"/>
        <v>1.0986122886681098</v>
      </c>
      <c r="N208" s="2">
        <v>0.66100000000000003</v>
      </c>
      <c r="O208">
        <v>-0.33319416642188998</v>
      </c>
      <c r="P208">
        <v>-1.31282722949982</v>
      </c>
    </row>
    <row r="209" spans="1:16" x14ac:dyDescent="0.25">
      <c r="A209" t="s">
        <v>38</v>
      </c>
      <c r="B209" s="1" t="s">
        <v>42</v>
      </c>
      <c r="C209">
        <v>2017</v>
      </c>
      <c r="D209">
        <v>7702938379.4203596</v>
      </c>
      <c r="E209">
        <v>60878508.017841078</v>
      </c>
      <c r="F209">
        <v>2612632</v>
      </c>
      <c r="G209">
        <f t="shared" si="16"/>
        <v>22.764867700729273</v>
      </c>
      <c r="H209">
        <f t="shared" si="17"/>
        <v>17.924390764283125</v>
      </c>
      <c r="I209">
        <f t="shared" si="18"/>
        <v>14.775868700294582</v>
      </c>
      <c r="J209">
        <f t="shared" si="19"/>
        <v>3.1485220639885423</v>
      </c>
      <c r="K209">
        <v>0.107069998979568</v>
      </c>
      <c r="L209">
        <v>9</v>
      </c>
      <c r="M209">
        <f t="shared" si="20"/>
        <v>2.1972245773362196</v>
      </c>
      <c r="N209" s="2">
        <v>0.69499999999999995</v>
      </c>
      <c r="O209">
        <v>-0.37824282050132801</v>
      </c>
      <c r="P209">
        <v>-1.07847428321838</v>
      </c>
    </row>
    <row r="210" spans="1:16" x14ac:dyDescent="0.25">
      <c r="A210" t="s">
        <v>38</v>
      </c>
      <c r="B210" s="1" t="s">
        <v>42</v>
      </c>
      <c r="C210">
        <v>2019</v>
      </c>
      <c r="D210">
        <v>9371275264.3673458</v>
      </c>
      <c r="E210">
        <v>653076732.38218629</v>
      </c>
      <c r="F210">
        <v>2733412</v>
      </c>
      <c r="G210">
        <f t="shared" si="16"/>
        <v>22.960915024722141</v>
      </c>
      <c r="H210">
        <f t="shared" si="17"/>
        <v>20.297205187813791</v>
      </c>
      <c r="I210">
        <f t="shared" si="18"/>
        <v>14.821061203640026</v>
      </c>
      <c r="J210">
        <f t="shared" si="19"/>
        <v>5.4761439841737651</v>
      </c>
      <c r="K210">
        <v>9.0159997344017001E-2</v>
      </c>
      <c r="L210">
        <v>1</v>
      </c>
      <c r="M210">
        <f t="shared" si="20"/>
        <v>0</v>
      </c>
      <c r="N210" s="2">
        <v>0.69899999999999995</v>
      </c>
      <c r="O210">
        <v>-0.39282745122909501</v>
      </c>
      <c r="P210">
        <v>-0.95989197492599498</v>
      </c>
    </row>
    <row r="211" spans="1:16" x14ac:dyDescent="0.25">
      <c r="A211" t="s">
        <v>38</v>
      </c>
      <c r="B211" s="1" t="s">
        <v>42</v>
      </c>
      <c r="C211">
        <v>2020</v>
      </c>
      <c r="D211">
        <v>8270468614.2405109</v>
      </c>
      <c r="E211">
        <v>430227178.9663173</v>
      </c>
      <c r="F211">
        <v>2796440</v>
      </c>
      <c r="G211">
        <f t="shared" si="16"/>
        <v>22.835957008734628</v>
      </c>
      <c r="H211">
        <f t="shared" si="17"/>
        <v>19.87982395031581</v>
      </c>
      <c r="I211">
        <f t="shared" si="18"/>
        <v>14.843857737622942</v>
      </c>
      <c r="J211">
        <f t="shared" si="19"/>
        <v>5.0359662126928679</v>
      </c>
      <c r="K211">
        <v>8.8809996843337999E-2</v>
      </c>
      <c r="L211">
        <v>1</v>
      </c>
      <c r="M211">
        <f t="shared" si="20"/>
        <v>0</v>
      </c>
      <c r="N211" s="2">
        <v>0.69099999999999995</v>
      </c>
      <c r="O211">
        <v>-0.45006117224693298</v>
      </c>
      <c r="P211">
        <v>-1.1244699954986599</v>
      </c>
    </row>
    <row r="212" spans="1:16" x14ac:dyDescent="0.25">
      <c r="A212" t="s">
        <v>105</v>
      </c>
      <c r="B212" s="1" t="s">
        <v>27</v>
      </c>
      <c r="C212">
        <v>2005</v>
      </c>
      <c r="D212">
        <v>917571853529.10449</v>
      </c>
      <c r="E212">
        <v>171558651893.41205</v>
      </c>
      <c r="F212">
        <v>43124092</v>
      </c>
      <c r="G212">
        <f t="shared" si="16"/>
        <v>27.544996728281856</v>
      </c>
      <c r="H212">
        <f t="shared" si="17"/>
        <v>25.868191038633533</v>
      </c>
      <c r="I212">
        <f t="shared" si="18"/>
        <v>17.579592378021673</v>
      </c>
      <c r="J212">
        <f t="shared" si="19"/>
        <v>8.2885986606118607</v>
      </c>
      <c r="K212">
        <v>0.39844000339508101</v>
      </c>
      <c r="L212">
        <v>13851</v>
      </c>
      <c r="M212">
        <f t="shared" si="20"/>
        <v>9.5361127111750985</v>
      </c>
      <c r="N212" s="2">
        <v>0.73299999999999998</v>
      </c>
      <c r="O212">
        <v>0.16098135709762601</v>
      </c>
      <c r="P212">
        <v>-0.34417954087257402</v>
      </c>
    </row>
    <row r="213" spans="1:16" x14ac:dyDescent="0.25">
      <c r="A213" t="s">
        <v>105</v>
      </c>
      <c r="B213" s="1" t="s">
        <v>27</v>
      </c>
      <c r="C213">
        <v>2006</v>
      </c>
      <c r="D213">
        <v>1020265057882.007</v>
      </c>
      <c r="E213">
        <v>212557699517.08569</v>
      </c>
      <c r="F213">
        <v>44563447</v>
      </c>
      <c r="G213">
        <f t="shared" ref="G213:G251" si="21">LN(D213)</f>
        <v>27.651083570135427</v>
      </c>
      <c r="H213">
        <f t="shared" ref="H213:H251" si="22">LN(E213)</f>
        <v>26.082479315593286</v>
      </c>
      <c r="I213">
        <f t="shared" ref="I213:I251" si="23">LN(F213)</f>
        <v>17.612424506964881</v>
      </c>
      <c r="J213">
        <f t="shared" ref="J213:J251" si="24">H213-I213</f>
        <v>8.4700548086284044</v>
      </c>
      <c r="K213">
        <v>0.36921998858451799</v>
      </c>
      <c r="L213">
        <v>14931</v>
      </c>
      <c r="M213">
        <f t="shared" ref="M213:M251" si="25">LN(L213)</f>
        <v>9.6111948675266632</v>
      </c>
      <c r="N213" s="2">
        <v>0.74099999999999999</v>
      </c>
      <c r="O213">
        <v>0.34668543934822099</v>
      </c>
      <c r="P213">
        <v>-0.32512518763542197</v>
      </c>
    </row>
    <row r="214" spans="1:16" x14ac:dyDescent="0.25">
      <c r="A214" t="s">
        <v>105</v>
      </c>
      <c r="B214" s="1" t="s">
        <v>27</v>
      </c>
      <c r="C214">
        <v>2007</v>
      </c>
      <c r="D214">
        <v>1102355554971.9478</v>
      </c>
      <c r="E214">
        <v>228508856451.27759</v>
      </c>
      <c r="F214">
        <v>45486346</v>
      </c>
      <c r="G214">
        <f t="shared" si="21"/>
        <v>27.728470419785619</v>
      </c>
      <c r="H214">
        <f t="shared" si="22"/>
        <v>26.154840805616111</v>
      </c>
      <c r="I214">
        <f t="shared" si="23"/>
        <v>17.632922750973705</v>
      </c>
      <c r="J214">
        <f t="shared" si="24"/>
        <v>8.5219180546424056</v>
      </c>
      <c r="K214">
        <v>0.39833000302314803</v>
      </c>
      <c r="L214">
        <v>15970</v>
      </c>
      <c r="M214">
        <f t="shared" si="25"/>
        <v>9.6784672412090575</v>
      </c>
      <c r="N214" s="2">
        <v>0.74299999999999999</v>
      </c>
      <c r="O214">
        <v>0.36822804808616599</v>
      </c>
      <c r="P214">
        <v>-0.34145736694335899</v>
      </c>
    </row>
    <row r="215" spans="1:16" x14ac:dyDescent="0.25">
      <c r="A215" t="s">
        <v>105</v>
      </c>
      <c r="B215" s="1" t="s">
        <v>27</v>
      </c>
      <c r="C215">
        <v>2008</v>
      </c>
      <c r="D215">
        <v>1161553459715.1033</v>
      </c>
      <c r="E215">
        <v>226108733043.25708</v>
      </c>
      <c r="F215">
        <v>46141022</v>
      </c>
      <c r="G215">
        <f t="shared" si="21"/>
        <v>27.780779414542032</v>
      </c>
      <c r="H215">
        <f t="shared" si="22"/>
        <v>26.144281840178174</v>
      </c>
      <c r="I215">
        <f t="shared" si="23"/>
        <v>17.6472129604429</v>
      </c>
      <c r="J215">
        <f t="shared" si="24"/>
        <v>8.4970688797352736</v>
      </c>
      <c r="K215">
        <v>0.44387000799179099</v>
      </c>
      <c r="L215">
        <v>15896</v>
      </c>
      <c r="M215">
        <f t="shared" si="25"/>
        <v>9.6738227842316533</v>
      </c>
      <c r="N215" s="2">
        <v>0.745</v>
      </c>
      <c r="O215">
        <v>0.312569350004196</v>
      </c>
      <c r="P215">
        <v>-0.30984988808631903</v>
      </c>
    </row>
    <row r="216" spans="1:16" x14ac:dyDescent="0.25">
      <c r="A216" t="s">
        <v>105</v>
      </c>
      <c r="B216" s="1" t="s">
        <v>27</v>
      </c>
      <c r="C216">
        <v>2009</v>
      </c>
      <c r="D216">
        <v>943437415024.63281</v>
      </c>
      <c r="E216">
        <v>183945100279.5358</v>
      </c>
      <c r="F216">
        <v>46933484</v>
      </c>
      <c r="G216">
        <f t="shared" si="21"/>
        <v>27.572795866777618</v>
      </c>
      <c r="H216">
        <f t="shared" si="22"/>
        <v>25.937903181988794</v>
      </c>
      <c r="I216">
        <f t="shared" si="23"/>
        <v>17.664241923242226</v>
      </c>
      <c r="J216">
        <f t="shared" si="24"/>
        <v>8.2736612587465679</v>
      </c>
      <c r="K216">
        <v>0.47953999042510997</v>
      </c>
      <c r="L216">
        <v>13459</v>
      </c>
      <c r="M216">
        <f t="shared" si="25"/>
        <v>9.5074033062337158</v>
      </c>
      <c r="N216" s="2">
        <v>0.745</v>
      </c>
      <c r="O216">
        <v>0.17768290638923601</v>
      </c>
      <c r="P216">
        <v>-0.36596012115478499</v>
      </c>
    </row>
    <row r="217" spans="1:16" x14ac:dyDescent="0.25">
      <c r="A217" t="s">
        <v>105</v>
      </c>
      <c r="B217" s="1" t="s">
        <v>27</v>
      </c>
      <c r="C217">
        <v>2010</v>
      </c>
      <c r="D217">
        <v>1105424238731.0928</v>
      </c>
      <c r="E217">
        <v>201000278806.40784</v>
      </c>
      <c r="F217">
        <v>47714802</v>
      </c>
      <c r="G217">
        <f t="shared" si="21"/>
        <v>27.731250303670841</v>
      </c>
      <c r="H217">
        <f t="shared" si="22"/>
        <v>26.02657213210108</v>
      </c>
      <c r="I217">
        <f t="shared" si="23"/>
        <v>17.680752222186403</v>
      </c>
      <c r="J217">
        <f t="shared" si="24"/>
        <v>8.3458199099146775</v>
      </c>
      <c r="K217">
        <v>0.49485000967979398</v>
      </c>
      <c r="L217">
        <v>13625</v>
      </c>
      <c r="M217">
        <f t="shared" si="25"/>
        <v>9.5196616195314441</v>
      </c>
      <c r="N217" s="2">
        <v>0.747</v>
      </c>
      <c r="O217">
        <v>0.15633778274059301</v>
      </c>
      <c r="P217">
        <v>-0.43974813818931602</v>
      </c>
    </row>
    <row r="218" spans="1:16" x14ac:dyDescent="0.25">
      <c r="A218" t="s">
        <v>105</v>
      </c>
      <c r="B218" s="1" t="s">
        <v>27</v>
      </c>
      <c r="C218">
        <v>2011</v>
      </c>
      <c r="D218">
        <v>1229013703416.7583</v>
      </c>
      <c r="E218">
        <v>230676742337.4982</v>
      </c>
      <c r="F218">
        <v>48766229</v>
      </c>
      <c r="G218">
        <f t="shared" si="21"/>
        <v>27.837233096504605</v>
      </c>
      <c r="H218">
        <f t="shared" si="22"/>
        <v>26.164283183595892</v>
      </c>
      <c r="I218">
        <f t="shared" si="23"/>
        <v>17.70254860257247</v>
      </c>
      <c r="J218">
        <f t="shared" si="24"/>
        <v>8.4617345810234212</v>
      </c>
      <c r="K218">
        <v>0.471289992332458</v>
      </c>
      <c r="L218">
        <v>12990</v>
      </c>
      <c r="M218">
        <f t="shared" si="25"/>
        <v>9.4719351096646456</v>
      </c>
      <c r="N218" s="2">
        <v>0.753</v>
      </c>
      <c r="O218">
        <v>0.184377461671829</v>
      </c>
      <c r="P218">
        <v>-0.47473776340484602</v>
      </c>
    </row>
    <row r="219" spans="1:16" x14ac:dyDescent="0.25">
      <c r="A219" t="s">
        <v>105</v>
      </c>
      <c r="B219" s="1" t="s">
        <v>27</v>
      </c>
      <c r="C219">
        <v>2012</v>
      </c>
      <c r="D219">
        <v>1255110424817.7866</v>
      </c>
      <c r="E219">
        <v>243344892401.79816</v>
      </c>
      <c r="F219">
        <v>50313010</v>
      </c>
      <c r="G219">
        <f t="shared" si="21"/>
        <v>27.858244672544206</v>
      </c>
      <c r="H219">
        <f t="shared" si="22"/>
        <v>26.217745584313594</v>
      </c>
      <c r="I219">
        <f t="shared" si="23"/>
        <v>17.733774249737642</v>
      </c>
      <c r="J219">
        <f t="shared" si="24"/>
        <v>8.4839713345759513</v>
      </c>
      <c r="K219">
        <v>0.42096000909805298</v>
      </c>
      <c r="L219">
        <v>14020</v>
      </c>
      <c r="M219">
        <f t="shared" si="25"/>
        <v>9.5482401605885805</v>
      </c>
      <c r="N219" s="2">
        <v>0.76</v>
      </c>
      <c r="O219">
        <v>0.41874319314956698</v>
      </c>
      <c r="P219">
        <v>-0.484527587890625</v>
      </c>
    </row>
    <row r="220" spans="1:16" x14ac:dyDescent="0.25">
      <c r="A220" t="s">
        <v>105</v>
      </c>
      <c r="B220" s="1" t="s">
        <v>27</v>
      </c>
      <c r="C220">
        <v>2013</v>
      </c>
      <c r="D220">
        <v>1327436290282.6748</v>
      </c>
      <c r="E220">
        <v>232824207609.90143</v>
      </c>
      <c r="F220">
        <v>51144538</v>
      </c>
      <c r="G220">
        <f t="shared" si="21"/>
        <v>27.914270596656735</v>
      </c>
      <c r="H220">
        <f t="shared" si="22"/>
        <v>26.173549531976288</v>
      </c>
      <c r="I220">
        <f t="shared" si="23"/>
        <v>17.750166260691376</v>
      </c>
      <c r="J220">
        <f t="shared" si="24"/>
        <v>8.4233832712849122</v>
      </c>
      <c r="K220">
        <v>0.42502999305725098</v>
      </c>
      <c r="L220">
        <v>14234</v>
      </c>
      <c r="M220">
        <f t="shared" si="25"/>
        <v>9.5633887478592161</v>
      </c>
      <c r="N220" s="2">
        <v>0.76100000000000001</v>
      </c>
      <c r="O220">
        <v>0.41815519332885698</v>
      </c>
      <c r="P220">
        <v>-0.59152024984359697</v>
      </c>
    </row>
    <row r="221" spans="1:16" x14ac:dyDescent="0.25">
      <c r="A221" t="s">
        <v>105</v>
      </c>
      <c r="B221" s="1" t="s">
        <v>27</v>
      </c>
      <c r="C221">
        <v>2014</v>
      </c>
      <c r="D221">
        <v>1364507717614.1343</v>
      </c>
      <c r="E221">
        <v>237938760800.30392</v>
      </c>
      <c r="F221">
        <v>51654365</v>
      </c>
      <c r="G221">
        <f t="shared" si="21"/>
        <v>27.941814833080372</v>
      </c>
      <c r="H221">
        <f t="shared" si="22"/>
        <v>26.195279169946868</v>
      </c>
      <c r="I221">
        <f t="shared" si="23"/>
        <v>17.760085261091682</v>
      </c>
      <c r="J221">
        <f t="shared" si="24"/>
        <v>8.4351939088551866</v>
      </c>
      <c r="K221">
        <v>0.43529999256134</v>
      </c>
      <c r="L221">
        <v>14889</v>
      </c>
      <c r="M221">
        <f t="shared" si="25"/>
        <v>9.6083779642555509</v>
      </c>
      <c r="N221" s="2">
        <v>0.76500000000000001</v>
      </c>
      <c r="O221">
        <v>0.35943821072578402</v>
      </c>
      <c r="P221">
        <v>-0.84264999628067005</v>
      </c>
    </row>
    <row r="222" spans="1:16" x14ac:dyDescent="0.25">
      <c r="A222" t="s">
        <v>105</v>
      </c>
      <c r="B222" s="1" t="s">
        <v>27</v>
      </c>
      <c r="C222">
        <v>2015</v>
      </c>
      <c r="D222">
        <v>1213294467716.8804</v>
      </c>
      <c r="E222">
        <v>229913231901.00217</v>
      </c>
      <c r="F222">
        <v>52724092</v>
      </c>
      <c r="G222">
        <f t="shared" si="21"/>
        <v>27.824360476294576</v>
      </c>
      <c r="H222">
        <f t="shared" si="22"/>
        <v>26.160967822087603</v>
      </c>
      <c r="I222">
        <f t="shared" si="23"/>
        <v>17.780583062748864</v>
      </c>
      <c r="J222">
        <f t="shared" si="24"/>
        <v>8.3803847593387388</v>
      </c>
      <c r="K222">
        <v>0.42943000793456998</v>
      </c>
      <c r="L222">
        <v>16707</v>
      </c>
      <c r="M222">
        <f t="shared" si="25"/>
        <v>9.7235830722577781</v>
      </c>
      <c r="N222" s="2">
        <v>0.76900000000000002</v>
      </c>
      <c r="O222">
        <v>0.27632501721382102</v>
      </c>
      <c r="P222">
        <v>-0.88869023323059104</v>
      </c>
    </row>
    <row r="223" spans="1:16" x14ac:dyDescent="0.25">
      <c r="A223" t="s">
        <v>105</v>
      </c>
      <c r="B223" s="1" t="s">
        <v>27</v>
      </c>
      <c r="C223">
        <v>2016</v>
      </c>
      <c r="D223">
        <v>1112233497452.6975</v>
      </c>
      <c r="E223">
        <v>216838196923.73438</v>
      </c>
      <c r="F223">
        <v>53567895</v>
      </c>
      <c r="G223">
        <f t="shared" si="21"/>
        <v>27.737391269437932</v>
      </c>
      <c r="H223">
        <f t="shared" si="22"/>
        <v>26.102417276065712</v>
      </c>
      <c r="I223">
        <f t="shared" si="23"/>
        <v>17.796460472703917</v>
      </c>
      <c r="J223">
        <f t="shared" si="24"/>
        <v>8.305956803361795</v>
      </c>
      <c r="K223">
        <v>0.387780010700226</v>
      </c>
      <c r="L223">
        <v>16103</v>
      </c>
      <c r="M223">
        <f t="shared" si="25"/>
        <v>9.6867608690179967</v>
      </c>
      <c r="N223" s="2">
        <v>0.77300000000000002</v>
      </c>
      <c r="O223">
        <v>0.199013441801071</v>
      </c>
      <c r="P223">
        <v>-0.85007172822952304</v>
      </c>
    </row>
    <row r="224" spans="1:16" x14ac:dyDescent="0.25">
      <c r="A224" t="s">
        <v>105</v>
      </c>
      <c r="B224" s="1" t="s">
        <v>27</v>
      </c>
      <c r="C224">
        <v>2017</v>
      </c>
      <c r="D224">
        <v>1190721475906</v>
      </c>
      <c r="E224">
        <v>244676973528.7269</v>
      </c>
      <c r="F224">
        <v>54292612</v>
      </c>
      <c r="G224">
        <f t="shared" si="21"/>
        <v>27.805580521611091</v>
      </c>
      <c r="H224">
        <f t="shared" si="22"/>
        <v>26.223204702144749</v>
      </c>
      <c r="I224">
        <f t="shared" si="23"/>
        <v>17.809898716715448</v>
      </c>
      <c r="J224">
        <f t="shared" si="24"/>
        <v>8.4133059854293002</v>
      </c>
      <c r="K224">
        <v>0.32831999659538302</v>
      </c>
      <c r="L224">
        <v>15850</v>
      </c>
      <c r="M224">
        <f t="shared" si="25"/>
        <v>9.6709247793054267</v>
      </c>
      <c r="N224" s="2">
        <v>0.77600000000000002</v>
      </c>
      <c r="O224">
        <v>0.18209248781204199</v>
      </c>
      <c r="P224">
        <v>-0.95190411806106601</v>
      </c>
    </row>
    <row r="225" spans="1:16" x14ac:dyDescent="0.25">
      <c r="A225" t="s">
        <v>105</v>
      </c>
      <c r="B225" s="1" t="s">
        <v>27</v>
      </c>
      <c r="C225">
        <v>2018</v>
      </c>
      <c r="D225">
        <v>1256300182879.7263</v>
      </c>
      <c r="E225">
        <v>268253912084.91306</v>
      </c>
      <c r="F225">
        <v>55360235</v>
      </c>
      <c r="G225">
        <f t="shared" si="21"/>
        <v>27.85919215452688</v>
      </c>
      <c r="H225">
        <f t="shared" si="22"/>
        <v>26.315199802078418</v>
      </c>
      <c r="I225">
        <f t="shared" si="23"/>
        <v>17.829372114206876</v>
      </c>
      <c r="J225">
        <f t="shared" si="24"/>
        <v>8.4858276878715415</v>
      </c>
      <c r="K225">
        <v>0.30643001198768599</v>
      </c>
      <c r="L225">
        <v>14869</v>
      </c>
      <c r="M225">
        <f t="shared" si="25"/>
        <v>9.6070337876972225</v>
      </c>
      <c r="N225" s="2">
        <v>0.77900000000000003</v>
      </c>
      <c r="O225">
        <v>8.4375463426113101E-2</v>
      </c>
      <c r="P225">
        <v>-0.94868439435958896</v>
      </c>
    </row>
    <row r="226" spans="1:16" x14ac:dyDescent="0.25">
      <c r="A226" t="s">
        <v>105</v>
      </c>
      <c r="B226" s="1" t="s">
        <v>27</v>
      </c>
      <c r="C226">
        <v>2019</v>
      </c>
      <c r="D226">
        <v>1305211135822.6147</v>
      </c>
      <c r="E226">
        <v>277867739330.37451</v>
      </c>
      <c r="F226">
        <v>56818605</v>
      </c>
      <c r="G226">
        <f t="shared" si="21"/>
        <v>27.897385933519018</v>
      </c>
      <c r="H226">
        <f t="shared" si="22"/>
        <v>26.350411079623989</v>
      </c>
      <c r="I226">
        <f t="shared" si="23"/>
        <v>17.855374382874569</v>
      </c>
      <c r="J226">
        <f t="shared" si="24"/>
        <v>8.4950366967494197</v>
      </c>
      <c r="K226">
        <v>0.28393998742103599</v>
      </c>
      <c r="L226">
        <v>14636</v>
      </c>
      <c r="M226">
        <f t="shared" si="25"/>
        <v>9.5912395261390966</v>
      </c>
      <c r="N226" s="2">
        <v>0.78100000000000003</v>
      </c>
      <c r="O226">
        <v>1.25951962545514E-2</v>
      </c>
      <c r="P226">
        <v>-0.91718471050262496</v>
      </c>
    </row>
    <row r="227" spans="1:16" x14ac:dyDescent="0.25">
      <c r="A227" t="s">
        <v>105</v>
      </c>
      <c r="B227" s="1" t="s">
        <v>27</v>
      </c>
      <c r="C227">
        <v>2020</v>
      </c>
      <c r="D227">
        <v>1120832412468.8489</v>
      </c>
      <c r="E227">
        <v>243109894818.89459</v>
      </c>
      <c r="F227">
        <v>53137902</v>
      </c>
      <c r="G227">
        <f t="shared" si="21"/>
        <v>27.745092750598928</v>
      </c>
      <c r="H227">
        <f t="shared" si="22"/>
        <v>26.216779420109408</v>
      </c>
      <c r="I227">
        <f t="shared" si="23"/>
        <v>17.788401016899325</v>
      </c>
      <c r="J227">
        <f t="shared" si="24"/>
        <v>8.4283784032100826</v>
      </c>
      <c r="K227">
        <v>0.30002999305725098</v>
      </c>
      <c r="L227">
        <v>13180</v>
      </c>
      <c r="M227">
        <f t="shared" si="25"/>
        <v>9.4864558080564976</v>
      </c>
      <c r="N227" s="2">
        <v>0.75700000000000001</v>
      </c>
      <c r="O227">
        <v>-1.29100447520614E-2</v>
      </c>
      <c r="P227">
        <v>-0.92150473594665505</v>
      </c>
    </row>
    <row r="228" spans="1:16" x14ac:dyDescent="0.25">
      <c r="A228" t="s">
        <v>60</v>
      </c>
      <c r="B228" s="1" t="s">
        <v>96</v>
      </c>
      <c r="C228">
        <v>2018</v>
      </c>
      <c r="D228">
        <v>11252353420.879784</v>
      </c>
      <c r="E228">
        <v>60511007.822139822</v>
      </c>
      <c r="F228">
        <v>1465932</v>
      </c>
      <c r="G228">
        <f t="shared" si="21"/>
        <v>23.143843136686133</v>
      </c>
      <c r="H228">
        <f t="shared" si="22"/>
        <v>17.91833585392402</v>
      </c>
      <c r="I228">
        <f t="shared" si="23"/>
        <v>14.198001775632601</v>
      </c>
      <c r="J228">
        <f t="shared" si="24"/>
        <v>3.7203340782914189</v>
      </c>
      <c r="K228">
        <v>0.25626000761985801</v>
      </c>
      <c r="L228">
        <v>21</v>
      </c>
      <c r="M228">
        <f t="shared" si="25"/>
        <v>3.044522437723423</v>
      </c>
      <c r="N228" s="2">
        <v>0.76700000000000002</v>
      </c>
      <c r="O228">
        <v>-3.23153994977474E-2</v>
      </c>
      <c r="P228">
        <v>-0.74642908573150601</v>
      </c>
    </row>
    <row r="229" spans="1:16" x14ac:dyDescent="0.25">
      <c r="A229" t="s">
        <v>60</v>
      </c>
      <c r="B229" s="1" t="s">
        <v>96</v>
      </c>
      <c r="C229">
        <v>2020</v>
      </c>
      <c r="D229">
        <v>11530746234.449179</v>
      </c>
      <c r="E229">
        <v>49281863.03587351</v>
      </c>
      <c r="F229">
        <v>1475366</v>
      </c>
      <c r="G229">
        <f t="shared" si="21"/>
        <v>23.168282890247472</v>
      </c>
      <c r="H229">
        <f t="shared" si="22"/>
        <v>17.713066681586014</v>
      </c>
      <c r="I229">
        <f t="shared" si="23"/>
        <v>14.204416652568733</v>
      </c>
      <c r="J229">
        <f t="shared" si="24"/>
        <v>3.5086500290172804</v>
      </c>
      <c r="K229">
        <v>0.23510999977588701</v>
      </c>
      <c r="L229">
        <v>11</v>
      </c>
      <c r="M229">
        <f t="shared" si="25"/>
        <v>2.3978952727983707</v>
      </c>
      <c r="N229" s="2">
        <v>0.76500000000000001</v>
      </c>
      <c r="O229">
        <v>-1.0916068218648401E-2</v>
      </c>
      <c r="P229">
        <v>-0.57100999355316195</v>
      </c>
    </row>
    <row r="230" spans="1:16" x14ac:dyDescent="0.25">
      <c r="A230" t="s">
        <v>19</v>
      </c>
      <c r="B230" s="1" t="s">
        <v>89</v>
      </c>
      <c r="C230">
        <v>2005</v>
      </c>
      <c r="D230">
        <v>2523471601.104208</v>
      </c>
      <c r="E230">
        <v>824818597.90117145</v>
      </c>
      <c r="F230">
        <v>1077414</v>
      </c>
      <c r="G230">
        <f t="shared" si="21"/>
        <v>21.648901409908415</v>
      </c>
      <c r="H230">
        <f t="shared" si="22"/>
        <v>20.530674038789599</v>
      </c>
      <c r="I230">
        <f t="shared" si="23"/>
        <v>13.890074283389552</v>
      </c>
      <c r="J230">
        <f t="shared" si="24"/>
        <v>6.6405997554000464</v>
      </c>
      <c r="K230">
        <v>0.23776000738143899</v>
      </c>
      <c r="L230">
        <v>87</v>
      </c>
      <c r="M230">
        <f t="shared" si="25"/>
        <v>4.4659081186545837</v>
      </c>
      <c r="N230" s="2">
        <v>0.65800000000000003</v>
      </c>
      <c r="O230">
        <v>-0.49169743061065702</v>
      </c>
      <c r="P230">
        <v>-0.60481697320938099</v>
      </c>
    </row>
    <row r="231" spans="1:16" x14ac:dyDescent="0.25">
      <c r="A231" t="s">
        <v>19</v>
      </c>
      <c r="B231" s="1" t="s">
        <v>89</v>
      </c>
      <c r="C231">
        <v>2006</v>
      </c>
      <c r="D231">
        <v>3414055661.6159754</v>
      </c>
      <c r="E231">
        <v>1400236684.2393472</v>
      </c>
      <c r="F231">
        <v>1099078</v>
      </c>
      <c r="G231">
        <f t="shared" si="21"/>
        <v>21.951166765115445</v>
      </c>
      <c r="H231">
        <f t="shared" si="22"/>
        <v>21.059907119449527</v>
      </c>
      <c r="I231">
        <f t="shared" si="23"/>
        <v>13.909982204479626</v>
      </c>
      <c r="J231">
        <f t="shared" si="24"/>
        <v>7.1499249149699011</v>
      </c>
      <c r="K231">
        <v>0.191210001707077</v>
      </c>
      <c r="L231">
        <v>110</v>
      </c>
      <c r="M231">
        <f t="shared" si="25"/>
        <v>4.7004803657924166</v>
      </c>
      <c r="N231" s="2">
        <v>0.66900000000000004</v>
      </c>
      <c r="O231">
        <v>-0.32141634821891801</v>
      </c>
      <c r="P231">
        <v>-0.58764547109603904</v>
      </c>
    </row>
    <row r="232" spans="1:16" x14ac:dyDescent="0.25">
      <c r="A232" t="s">
        <v>19</v>
      </c>
      <c r="B232" s="1" t="s">
        <v>89</v>
      </c>
      <c r="C232">
        <v>2009</v>
      </c>
      <c r="D232">
        <v>4583850367.88972</v>
      </c>
      <c r="E232">
        <v>1258291741.3817685</v>
      </c>
      <c r="F232">
        <v>1121694</v>
      </c>
      <c r="G232">
        <f t="shared" si="21"/>
        <v>22.245805173568165</v>
      </c>
      <c r="H232">
        <f t="shared" si="22"/>
        <v>20.953020877226479</v>
      </c>
      <c r="I232">
        <f t="shared" si="23"/>
        <v>13.930350600595206</v>
      </c>
      <c r="J232">
        <f t="shared" si="24"/>
        <v>7.0226702766312723</v>
      </c>
      <c r="K232">
        <v>0.30478000640869102</v>
      </c>
      <c r="L232">
        <v>67</v>
      </c>
      <c r="M232">
        <f t="shared" si="25"/>
        <v>4.2046926193909657</v>
      </c>
      <c r="N232" s="2">
        <v>0.69399999999999995</v>
      </c>
      <c r="O232">
        <v>-0.30616286396980302</v>
      </c>
      <c r="P232">
        <v>-0.76149749755859397</v>
      </c>
    </row>
    <row r="233" spans="1:16" x14ac:dyDescent="0.25">
      <c r="A233" t="s">
        <v>19</v>
      </c>
      <c r="B233" s="1" t="s">
        <v>89</v>
      </c>
      <c r="C233">
        <v>2010</v>
      </c>
      <c r="D233">
        <v>7189481998.9009409</v>
      </c>
      <c r="E233">
        <v>2307456180.8837442</v>
      </c>
      <c r="F233">
        <v>1153589</v>
      </c>
      <c r="G233">
        <f t="shared" si="21"/>
        <v>22.695884961424909</v>
      </c>
      <c r="H233">
        <f t="shared" si="22"/>
        <v>21.559411534294771</v>
      </c>
      <c r="I233">
        <f t="shared" si="23"/>
        <v>13.958388510099814</v>
      </c>
      <c r="J233">
        <f t="shared" si="24"/>
        <v>7.6010230241949568</v>
      </c>
      <c r="K233">
        <v>0.244379997253418</v>
      </c>
      <c r="L233">
        <v>69</v>
      </c>
      <c r="M233">
        <f t="shared" si="25"/>
        <v>4.2341065045972597</v>
      </c>
      <c r="N233" s="2">
        <v>0.7</v>
      </c>
      <c r="O233">
        <v>-0.25804117321968101</v>
      </c>
      <c r="P233">
        <v>-0.733134984970093</v>
      </c>
    </row>
    <row r="234" spans="1:16" x14ac:dyDescent="0.25">
      <c r="A234" t="s">
        <v>19</v>
      </c>
      <c r="B234" s="1" t="s">
        <v>89</v>
      </c>
      <c r="C234">
        <v>2013</v>
      </c>
      <c r="D234">
        <v>12582122604.257748</v>
      </c>
      <c r="E234">
        <v>3868272175.0214496</v>
      </c>
      <c r="F234">
        <v>1210993</v>
      </c>
      <c r="G234">
        <f t="shared" si="21"/>
        <v>23.255542802464014</v>
      </c>
      <c r="H234">
        <f t="shared" si="22"/>
        <v>22.076073777889576</v>
      </c>
      <c r="I234">
        <f t="shared" si="23"/>
        <v>14.006951242171702</v>
      </c>
      <c r="J234">
        <f t="shared" si="24"/>
        <v>8.0691225357178737</v>
      </c>
      <c r="K234">
        <v>0.232460007071495</v>
      </c>
      <c r="L234">
        <v>132</v>
      </c>
      <c r="M234">
        <f t="shared" si="25"/>
        <v>4.8828019225863706</v>
      </c>
      <c r="N234" s="2">
        <v>0.73</v>
      </c>
      <c r="O234">
        <v>-0.33261641860008201</v>
      </c>
      <c r="P234">
        <v>-0.47797775268554699</v>
      </c>
    </row>
    <row r="235" spans="1:16" x14ac:dyDescent="0.25">
      <c r="A235" t="s">
        <v>19</v>
      </c>
      <c r="B235" s="1" t="s">
        <v>89</v>
      </c>
      <c r="C235">
        <v>2014</v>
      </c>
      <c r="D235">
        <v>12226514668.062176</v>
      </c>
      <c r="E235">
        <v>3710867395.7560072</v>
      </c>
      <c r="F235">
        <v>1241618</v>
      </c>
      <c r="G235">
        <f t="shared" si="21"/>
        <v>23.226872763860463</v>
      </c>
      <c r="H235">
        <f t="shared" si="22"/>
        <v>22.034531485634087</v>
      </c>
      <c r="I235">
        <f t="shared" si="23"/>
        <v>14.031925925728686</v>
      </c>
      <c r="J235">
        <f t="shared" si="24"/>
        <v>8.0026055599054011</v>
      </c>
      <c r="K235">
        <v>0.22339999675750699</v>
      </c>
      <c r="L235">
        <v>126</v>
      </c>
      <c r="M235">
        <f t="shared" si="25"/>
        <v>4.836281906951478</v>
      </c>
      <c r="N235" s="2">
        <v>0.73499999999999999</v>
      </c>
      <c r="O235">
        <v>-0.277615696191788</v>
      </c>
      <c r="P235">
        <v>-0.47189313173294101</v>
      </c>
    </row>
    <row r="236" spans="1:16" x14ac:dyDescent="0.25">
      <c r="A236" t="s">
        <v>19</v>
      </c>
      <c r="B236" s="1" t="s">
        <v>89</v>
      </c>
      <c r="C236">
        <v>2015</v>
      </c>
      <c r="D236">
        <v>11619892590.694118</v>
      </c>
      <c r="E236">
        <v>2699101827.3022127</v>
      </c>
      <c r="F236">
        <v>1254113</v>
      </c>
      <c r="G236">
        <f t="shared" si="21"/>
        <v>23.175984344841577</v>
      </c>
      <c r="H236">
        <f t="shared" si="22"/>
        <v>21.716184898059492</v>
      </c>
      <c r="I236">
        <f t="shared" si="23"/>
        <v>14.041939107757937</v>
      </c>
      <c r="J236">
        <f t="shared" si="24"/>
        <v>7.6742457903015548</v>
      </c>
      <c r="K236">
        <v>0.15639999508857699</v>
      </c>
      <c r="L236">
        <v>128</v>
      </c>
      <c r="M236">
        <f t="shared" si="25"/>
        <v>4.8520302639196169</v>
      </c>
      <c r="N236" s="2">
        <v>0.73899999999999999</v>
      </c>
      <c r="O236">
        <v>-0.36825102567672702</v>
      </c>
      <c r="P236">
        <v>-0.51744693517684903</v>
      </c>
    </row>
    <row r="237" spans="1:16" x14ac:dyDescent="0.25">
      <c r="A237" t="s">
        <v>19</v>
      </c>
      <c r="B237" s="1" t="s">
        <v>89</v>
      </c>
      <c r="C237">
        <v>2016</v>
      </c>
      <c r="D237">
        <v>11181350649.357347</v>
      </c>
      <c r="E237">
        <v>2607330052.1269712</v>
      </c>
      <c r="F237">
        <v>1248388</v>
      </c>
      <c r="G237">
        <f t="shared" si="21"/>
        <v>23.137513106800228</v>
      </c>
      <c r="H237">
        <f t="shared" si="22"/>
        <v>21.681592566157867</v>
      </c>
      <c r="I237">
        <f t="shared" si="23"/>
        <v>14.037363677028814</v>
      </c>
      <c r="J237">
        <f t="shared" si="24"/>
        <v>7.6442288891290531</v>
      </c>
      <c r="K237">
        <v>0.18344999849796301</v>
      </c>
      <c r="L237">
        <v>107</v>
      </c>
      <c r="M237">
        <f t="shared" si="25"/>
        <v>4.6728288344619058</v>
      </c>
      <c r="N237" s="2">
        <v>0.74099999999999999</v>
      </c>
      <c r="O237">
        <v>-9.9387668073177296E-2</v>
      </c>
      <c r="P237">
        <v>-0.50976878404617298</v>
      </c>
    </row>
    <row r="238" spans="1:16" x14ac:dyDescent="0.25">
      <c r="A238" t="s">
        <v>19</v>
      </c>
      <c r="B238" s="1" t="s">
        <v>89</v>
      </c>
      <c r="C238">
        <v>2017</v>
      </c>
      <c r="D238">
        <v>11480847740.735979</v>
      </c>
      <c r="E238">
        <v>3422063102.5562243</v>
      </c>
      <c r="F238">
        <v>1282474</v>
      </c>
      <c r="G238">
        <f t="shared" si="21"/>
        <v>23.163946070123266</v>
      </c>
      <c r="H238">
        <f t="shared" si="22"/>
        <v>21.953509452502448</v>
      </c>
      <c r="I238">
        <f t="shared" si="23"/>
        <v>14.06430158291708</v>
      </c>
      <c r="J238">
        <f t="shared" si="24"/>
        <v>7.889207869585368</v>
      </c>
      <c r="K238">
        <v>0.13420000672340399</v>
      </c>
      <c r="L238">
        <v>104</v>
      </c>
      <c r="M238">
        <f t="shared" si="25"/>
        <v>4.6443908991413725</v>
      </c>
      <c r="N238" s="2">
        <v>0.74199999999999999</v>
      </c>
      <c r="O238">
        <v>-0.125497415661812</v>
      </c>
      <c r="P238">
        <v>-0.47601160407066301</v>
      </c>
    </row>
    <row r="239" spans="1:16" x14ac:dyDescent="0.25">
      <c r="A239" t="s">
        <v>19</v>
      </c>
      <c r="B239" s="1" t="s">
        <v>89</v>
      </c>
      <c r="C239">
        <v>2018</v>
      </c>
      <c r="D239">
        <v>13178094720.498564</v>
      </c>
      <c r="E239">
        <v>3867984130.830699</v>
      </c>
      <c r="F239">
        <v>1296309</v>
      </c>
      <c r="G239">
        <f t="shared" si="21"/>
        <v>23.301821797187177</v>
      </c>
      <c r="H239">
        <f t="shared" si="22"/>
        <v>22.075999311848253</v>
      </c>
      <c r="I239">
        <f t="shared" si="23"/>
        <v>14.075031553401338</v>
      </c>
      <c r="J239">
        <f t="shared" si="24"/>
        <v>8.0009677584469152</v>
      </c>
      <c r="K239">
        <v>0.101609997451305</v>
      </c>
      <c r="L239">
        <v>79</v>
      </c>
      <c r="M239">
        <f t="shared" si="25"/>
        <v>4.3694478524670215</v>
      </c>
      <c r="N239" s="2">
        <v>0.754</v>
      </c>
      <c r="O239">
        <v>8.2067148759961094E-3</v>
      </c>
      <c r="P239">
        <v>-0.44848650693893399</v>
      </c>
    </row>
    <row r="240" spans="1:16" x14ac:dyDescent="0.25">
      <c r="A240" t="s">
        <v>19</v>
      </c>
      <c r="B240" s="1" t="s">
        <v>89</v>
      </c>
      <c r="C240">
        <v>2019</v>
      </c>
      <c r="D240">
        <v>14206359017.514322</v>
      </c>
      <c r="E240">
        <v>4209315322.9826393</v>
      </c>
      <c r="F240">
        <v>1388801</v>
      </c>
      <c r="G240">
        <f t="shared" si="21"/>
        <v>23.376955519447822</v>
      </c>
      <c r="H240">
        <f t="shared" si="22"/>
        <v>22.160565840294314</v>
      </c>
      <c r="I240">
        <f t="shared" si="23"/>
        <v>14.143951342934047</v>
      </c>
      <c r="J240">
        <f t="shared" si="24"/>
        <v>8.0166144973602673</v>
      </c>
      <c r="K240">
        <v>9.2699997127056094E-2</v>
      </c>
      <c r="L240">
        <v>86</v>
      </c>
      <c r="M240">
        <f t="shared" si="25"/>
        <v>4.4543472962535073</v>
      </c>
      <c r="N240" s="2">
        <v>0.749</v>
      </c>
      <c r="O240">
        <v>-2.5270238984376201E-3</v>
      </c>
      <c r="P240">
        <v>-0.45531338453292802</v>
      </c>
    </row>
    <row r="241" spans="1:16" x14ac:dyDescent="0.25">
      <c r="A241" t="s">
        <v>19</v>
      </c>
      <c r="B241" s="1" t="s">
        <v>89</v>
      </c>
      <c r="C241">
        <v>2020</v>
      </c>
      <c r="D241">
        <v>13312981429.08905</v>
      </c>
      <c r="E241">
        <v>3157596362.9783635</v>
      </c>
      <c r="F241">
        <v>1359751</v>
      </c>
      <c r="G241">
        <f t="shared" si="21"/>
        <v>23.312005443449603</v>
      </c>
      <c r="H241">
        <f t="shared" si="22"/>
        <v>21.873076930481226</v>
      </c>
      <c r="I241">
        <f t="shared" si="23"/>
        <v>14.122812152714243</v>
      </c>
      <c r="J241">
        <f t="shared" si="24"/>
        <v>7.7502647777669829</v>
      </c>
      <c r="K241">
        <v>0.13300999999046301</v>
      </c>
      <c r="L241">
        <v>82</v>
      </c>
      <c r="M241">
        <f t="shared" si="25"/>
        <v>4.4067192472642533</v>
      </c>
      <c r="N241" s="2">
        <v>0.74</v>
      </c>
      <c r="O241">
        <v>-0.10893253237009</v>
      </c>
      <c r="P241">
        <v>-0.49447748064994801</v>
      </c>
    </row>
    <row r="242" spans="1:16" x14ac:dyDescent="0.25">
      <c r="A242" t="s">
        <v>59</v>
      </c>
      <c r="B242" s="1" t="s">
        <v>11</v>
      </c>
      <c r="C242">
        <v>2005</v>
      </c>
      <c r="D242">
        <v>6258602872.6789751</v>
      </c>
      <c r="E242">
        <v>226525278.15342045</v>
      </c>
      <c r="F242">
        <v>852946</v>
      </c>
      <c r="G242">
        <f t="shared" si="21"/>
        <v>22.557222813871206</v>
      </c>
      <c r="H242">
        <f t="shared" si="22"/>
        <v>19.238367099986533</v>
      </c>
      <c r="I242">
        <f t="shared" si="23"/>
        <v>13.656451518491011</v>
      </c>
      <c r="J242">
        <f t="shared" si="24"/>
        <v>5.5819155814955224</v>
      </c>
      <c r="K242">
        <v>0.228249996900558</v>
      </c>
      <c r="L242">
        <v>15</v>
      </c>
      <c r="M242">
        <f t="shared" si="25"/>
        <v>2.7080502011022101</v>
      </c>
      <c r="N242" s="2">
        <v>0.70399999999999996</v>
      </c>
      <c r="O242">
        <v>-0.23243056237697601</v>
      </c>
      <c r="P242">
        <v>-0.48840087652206399</v>
      </c>
    </row>
    <row r="243" spans="1:16" x14ac:dyDescent="0.25">
      <c r="A243" t="s">
        <v>59</v>
      </c>
      <c r="B243" s="1" t="s">
        <v>11</v>
      </c>
      <c r="C243">
        <v>2006</v>
      </c>
      <c r="D243">
        <v>6861226971.5561733</v>
      </c>
      <c r="E243">
        <v>304599626.4848361</v>
      </c>
      <c r="F243">
        <v>849786</v>
      </c>
      <c r="G243">
        <f t="shared" si="21"/>
        <v>22.649152121518302</v>
      </c>
      <c r="H243">
        <f t="shared" si="22"/>
        <v>19.534508772176508</v>
      </c>
      <c r="I243">
        <f t="shared" si="23"/>
        <v>13.652739832062563</v>
      </c>
      <c r="J243">
        <f t="shared" si="24"/>
        <v>5.881768940113945</v>
      </c>
      <c r="K243">
        <v>0.19372999668121299</v>
      </c>
      <c r="L243">
        <v>4</v>
      </c>
      <c r="M243">
        <f t="shared" si="25"/>
        <v>1.3862943611198906</v>
      </c>
      <c r="N243" s="2">
        <v>0.71199999999999997</v>
      </c>
      <c r="O243">
        <v>-9.3634329736232799E-2</v>
      </c>
      <c r="P243">
        <v>-0.40345451235771201</v>
      </c>
    </row>
    <row r="244" spans="1:16" x14ac:dyDescent="0.25">
      <c r="A244" t="s">
        <v>59</v>
      </c>
      <c r="B244" s="1" t="s">
        <v>11</v>
      </c>
      <c r="C244">
        <v>2007</v>
      </c>
      <c r="D244">
        <v>8336474973.7294931</v>
      </c>
      <c r="E244">
        <v>487907205.16473389</v>
      </c>
      <c r="F244">
        <v>868032</v>
      </c>
      <c r="G244">
        <f t="shared" si="21"/>
        <v>22.843906298948585</v>
      </c>
      <c r="H244">
        <f t="shared" si="22"/>
        <v>20.005635792385025</v>
      </c>
      <c r="I244">
        <f t="shared" si="23"/>
        <v>13.673983859322387</v>
      </c>
      <c r="J244">
        <f t="shared" si="24"/>
        <v>6.3316519330626377</v>
      </c>
      <c r="K244">
        <v>0.17092999815940901</v>
      </c>
      <c r="L244">
        <v>13</v>
      </c>
      <c r="M244">
        <f t="shared" si="25"/>
        <v>2.5649493574615367</v>
      </c>
      <c r="N244" s="2">
        <v>0.71699999999999997</v>
      </c>
      <c r="O244">
        <v>4.2447865009307903E-2</v>
      </c>
      <c r="P244">
        <v>-0.39435684680938698</v>
      </c>
    </row>
    <row r="245" spans="1:16" x14ac:dyDescent="0.25">
      <c r="A245" t="s">
        <v>59</v>
      </c>
      <c r="B245" s="1" t="s">
        <v>11</v>
      </c>
      <c r="C245">
        <v>2008</v>
      </c>
      <c r="D245">
        <v>9909552434.5113621</v>
      </c>
      <c r="E245">
        <v>278639732.70266712</v>
      </c>
      <c r="F245">
        <v>875920</v>
      </c>
      <c r="G245">
        <f t="shared" si="21"/>
        <v>23.016765021252422</v>
      </c>
      <c r="H245">
        <f t="shared" si="22"/>
        <v>19.445430224728806</v>
      </c>
      <c r="I245">
        <f t="shared" si="23"/>
        <v>13.683030041547307</v>
      </c>
      <c r="J245">
        <f t="shared" si="24"/>
        <v>5.7624001831814997</v>
      </c>
      <c r="K245">
        <v>0.223580002784729</v>
      </c>
      <c r="L245">
        <v>5</v>
      </c>
      <c r="M245">
        <f t="shared" si="25"/>
        <v>1.6094379124341003</v>
      </c>
      <c r="N245" s="2">
        <v>0.73599999999999999</v>
      </c>
      <c r="O245">
        <v>0.119425922632217</v>
      </c>
      <c r="P245">
        <v>-0.21142135560512501</v>
      </c>
    </row>
    <row r="246" spans="1:16" x14ac:dyDescent="0.25">
      <c r="A246" t="s">
        <v>59</v>
      </c>
      <c r="B246" s="1" t="s">
        <v>11</v>
      </c>
      <c r="C246">
        <v>2009</v>
      </c>
      <c r="D246">
        <v>9401736825.4268799</v>
      </c>
      <c r="E246">
        <v>392693292.54777288</v>
      </c>
      <c r="F246">
        <v>876986</v>
      </c>
      <c r="G246">
        <f t="shared" si="21"/>
        <v>22.964160277817175</v>
      </c>
      <c r="H246">
        <f t="shared" si="22"/>
        <v>19.788539439055469</v>
      </c>
      <c r="I246">
        <f t="shared" si="23"/>
        <v>13.684246307714929</v>
      </c>
      <c r="J246">
        <f t="shared" si="24"/>
        <v>6.1042931313405404</v>
      </c>
      <c r="K246">
        <v>0.19678999483585399</v>
      </c>
      <c r="L246">
        <v>11</v>
      </c>
      <c r="M246">
        <f t="shared" si="25"/>
        <v>2.3978952727983707</v>
      </c>
      <c r="N246" s="2">
        <v>0.74</v>
      </c>
      <c r="O246">
        <v>0.194719597697258</v>
      </c>
      <c r="P246">
        <v>-0.146806985139847</v>
      </c>
    </row>
    <row r="247" spans="1:16" x14ac:dyDescent="0.25">
      <c r="A247" t="s">
        <v>59</v>
      </c>
      <c r="B247" s="1" t="s">
        <v>11</v>
      </c>
      <c r="C247">
        <v>2010</v>
      </c>
      <c r="D247">
        <v>9407170321.3775215</v>
      </c>
      <c r="E247">
        <v>580117728.16716278</v>
      </c>
      <c r="F247">
        <v>853698</v>
      </c>
      <c r="G247">
        <f t="shared" si="21"/>
        <v>22.964738035584748</v>
      </c>
      <c r="H247">
        <f t="shared" si="22"/>
        <v>20.178741620505726</v>
      </c>
      <c r="I247">
        <f t="shared" si="23"/>
        <v>13.6573327802523</v>
      </c>
      <c r="J247">
        <f t="shared" si="24"/>
        <v>6.5214088402534252</v>
      </c>
      <c r="K247">
        <v>0.21634000539779699</v>
      </c>
      <c r="L247">
        <v>1</v>
      </c>
      <c r="M247">
        <f t="shared" si="25"/>
        <v>0</v>
      </c>
      <c r="N247" s="2">
        <v>0.746</v>
      </c>
      <c r="O247">
        <v>0.237565532326698</v>
      </c>
      <c r="P247">
        <v>-9.2976823449134799E-2</v>
      </c>
    </row>
    <row r="248" spans="1:16" x14ac:dyDescent="0.25">
      <c r="A248" t="s">
        <v>59</v>
      </c>
      <c r="B248" s="1" t="s">
        <v>11</v>
      </c>
      <c r="C248">
        <v>2011</v>
      </c>
      <c r="D248">
        <v>10494626767.64451</v>
      </c>
      <c r="E248">
        <v>836385032.38408959</v>
      </c>
      <c r="F248">
        <v>876465</v>
      </c>
      <c r="G248">
        <f t="shared" si="21"/>
        <v>23.074129226713314</v>
      </c>
      <c r="H248">
        <f t="shared" si="22"/>
        <v>20.544599630074185</v>
      </c>
      <c r="I248">
        <f t="shared" si="23"/>
        <v>13.68365205100022</v>
      </c>
      <c r="J248">
        <f t="shared" si="24"/>
        <v>6.8609475790739651</v>
      </c>
      <c r="K248">
        <v>0.22276000678539301</v>
      </c>
      <c r="L248">
        <v>3</v>
      </c>
      <c r="M248">
        <f t="shared" si="25"/>
        <v>1.0986122886681098</v>
      </c>
      <c r="N248" s="2">
        <v>0.751</v>
      </c>
      <c r="O248">
        <v>0.21558402478694899</v>
      </c>
      <c r="P248">
        <v>-0.10699371248483699</v>
      </c>
    </row>
    <row r="249" spans="1:16" x14ac:dyDescent="0.25">
      <c r="A249" t="s">
        <v>59</v>
      </c>
      <c r="B249" s="1" t="s">
        <v>11</v>
      </c>
      <c r="C249">
        <v>2012</v>
      </c>
      <c r="D249">
        <v>9745261300.5778828</v>
      </c>
      <c r="E249">
        <v>727079102.74011934</v>
      </c>
      <c r="F249">
        <v>872718</v>
      </c>
      <c r="G249">
        <f t="shared" si="21"/>
        <v>23.000046983356395</v>
      </c>
      <c r="H249">
        <f t="shared" si="22"/>
        <v>20.404545836649049</v>
      </c>
      <c r="I249">
        <f t="shared" si="23"/>
        <v>13.679367758583249</v>
      </c>
      <c r="J249">
        <f t="shared" si="24"/>
        <v>6.7251780780658006</v>
      </c>
      <c r="K249">
        <v>0.326759994029999</v>
      </c>
      <c r="L249">
        <v>3</v>
      </c>
      <c r="M249">
        <f t="shared" si="25"/>
        <v>1.0986122886681098</v>
      </c>
      <c r="N249" s="2">
        <v>0.755</v>
      </c>
      <c r="O249">
        <v>0.26410642266273499</v>
      </c>
      <c r="P249">
        <v>-5.11750727891922E-2</v>
      </c>
    </row>
    <row r="250" spans="1:16" x14ac:dyDescent="0.25">
      <c r="A250" t="s">
        <v>59</v>
      </c>
      <c r="B250" s="1" t="s">
        <v>11</v>
      </c>
      <c r="C250">
        <v>2013</v>
      </c>
      <c r="D250">
        <v>10817702346.067413</v>
      </c>
      <c r="E250">
        <v>1162185634.9286098</v>
      </c>
      <c r="F250">
        <v>882258</v>
      </c>
      <c r="G250">
        <f t="shared" si="21"/>
        <v>23.104449735325616</v>
      </c>
      <c r="H250">
        <f t="shared" si="22"/>
        <v>20.873568237288492</v>
      </c>
      <c r="I250">
        <f t="shared" si="23"/>
        <v>13.690239809220973</v>
      </c>
      <c r="J250">
        <f t="shared" si="24"/>
        <v>7.1833284280675187</v>
      </c>
      <c r="K250">
        <v>0.438939988613129</v>
      </c>
      <c r="L250">
        <v>4</v>
      </c>
      <c r="M250">
        <f t="shared" si="25"/>
        <v>1.3862943611198906</v>
      </c>
      <c r="N250" s="2">
        <v>0.76300000000000001</v>
      </c>
      <c r="O250">
        <v>0.247319892048836</v>
      </c>
      <c r="P250">
        <v>-5.6259628385305398E-2</v>
      </c>
    </row>
    <row r="251" spans="1:16" x14ac:dyDescent="0.25">
      <c r="A251" t="s">
        <v>39</v>
      </c>
      <c r="B251" s="1" t="s">
        <v>91</v>
      </c>
      <c r="C251">
        <v>2005</v>
      </c>
      <c r="D251">
        <v>27683225959.246811</v>
      </c>
      <c r="E251">
        <v>1556217754.047888</v>
      </c>
      <c r="F251">
        <v>3381701</v>
      </c>
      <c r="G251">
        <f t="shared" si="21"/>
        <v>24.044092505675543</v>
      </c>
      <c r="H251">
        <f t="shared" si="22"/>
        <v>21.165524197672109</v>
      </c>
      <c r="I251">
        <f t="shared" si="23"/>
        <v>15.033889395307027</v>
      </c>
      <c r="J251">
        <f t="shared" si="24"/>
        <v>6.1316348023650828</v>
      </c>
      <c r="K251">
        <v>0.39530000090599099</v>
      </c>
      <c r="L251">
        <v>609</v>
      </c>
      <c r="M251">
        <f t="shared" si="25"/>
        <v>6.4118182677098972</v>
      </c>
      <c r="N251" s="2">
        <v>0.73199999999999998</v>
      </c>
      <c r="O251">
        <v>-0.62398546934127797</v>
      </c>
      <c r="P251">
        <v>-0.40605136752128601</v>
      </c>
    </row>
    <row r="252" spans="1:16" x14ac:dyDescent="0.25">
      <c r="A252" t="s">
        <v>39</v>
      </c>
      <c r="B252" s="1" t="s">
        <v>91</v>
      </c>
      <c r="C252">
        <v>2006</v>
      </c>
      <c r="D252">
        <v>32482070360.320381</v>
      </c>
      <c r="E252">
        <v>1205536310.5361767</v>
      </c>
      <c r="F252">
        <v>3361676</v>
      </c>
      <c r="G252">
        <f t="shared" ref="G252:G300" si="26">LN(D252)</f>
        <v>24.203954092829115</v>
      </c>
      <c r="H252">
        <f t="shared" ref="H252:H300" si="27">LN(E252)</f>
        <v>20.910190375858697</v>
      </c>
      <c r="I252">
        <f t="shared" ref="I252:I300" si="28">LN(F252)</f>
        <v>15.027950217099081</v>
      </c>
      <c r="J252">
        <f t="shared" ref="J252:J300" si="29">H252-I252</f>
        <v>5.8822401587596165</v>
      </c>
      <c r="K252">
        <v>0.43985000252723699</v>
      </c>
      <c r="L252">
        <v>273</v>
      </c>
      <c r="M252">
        <f t="shared" ref="M252:M300" si="30">LN(L252)</f>
        <v>5.6094717951849598</v>
      </c>
      <c r="N252" s="2">
        <v>0.74299999999999999</v>
      </c>
      <c r="O252">
        <v>-0.53039503097534202</v>
      </c>
      <c r="P252">
        <v>-0.27759146690368702</v>
      </c>
    </row>
    <row r="253" spans="1:16" x14ac:dyDescent="0.25">
      <c r="A253" t="s">
        <v>39</v>
      </c>
      <c r="B253" s="1" t="s">
        <v>91</v>
      </c>
      <c r="C253">
        <v>2007</v>
      </c>
      <c r="D253">
        <v>43170990616.472923</v>
      </c>
      <c r="E253">
        <v>1710744437.8865252</v>
      </c>
      <c r="F253">
        <v>3362384</v>
      </c>
      <c r="G253">
        <f t="shared" si="26"/>
        <v>24.488434593122722</v>
      </c>
      <c r="H253">
        <f t="shared" si="27"/>
        <v>21.260194456519653</v>
      </c>
      <c r="I253">
        <f t="shared" si="28"/>
        <v>15.028160804155894</v>
      </c>
      <c r="J253">
        <f t="shared" si="29"/>
        <v>6.2320336523637589</v>
      </c>
      <c r="K253">
        <v>0.57876998186111495</v>
      </c>
      <c r="L253">
        <v>121</v>
      </c>
      <c r="M253">
        <f t="shared" si="30"/>
        <v>4.7957905455967413</v>
      </c>
      <c r="N253" s="2">
        <v>0.753</v>
      </c>
      <c r="O253">
        <v>-0.43724316358566301</v>
      </c>
      <c r="P253">
        <v>-0.34168216586112998</v>
      </c>
    </row>
    <row r="254" spans="1:16" x14ac:dyDescent="0.25">
      <c r="A254" t="s">
        <v>39</v>
      </c>
      <c r="B254" s="1" t="s">
        <v>91</v>
      </c>
      <c r="C254">
        <v>2008</v>
      </c>
      <c r="D254">
        <v>52194221468.500725</v>
      </c>
      <c r="E254">
        <v>2414887794.1981392</v>
      </c>
      <c r="F254">
        <v>3311451</v>
      </c>
      <c r="G254">
        <f t="shared" si="26"/>
        <v>24.678237625870175</v>
      </c>
      <c r="H254">
        <f t="shared" si="27"/>
        <v>21.604918660941799</v>
      </c>
      <c r="I254">
        <f t="shared" si="28"/>
        <v>15.012897019877871</v>
      </c>
      <c r="J254">
        <f t="shared" si="29"/>
        <v>6.5920216410639281</v>
      </c>
      <c r="K254">
        <v>0.66965997219085704</v>
      </c>
      <c r="L254">
        <v>237</v>
      </c>
      <c r="M254">
        <f t="shared" si="30"/>
        <v>5.4680601411351315</v>
      </c>
      <c r="N254" s="2">
        <v>0.76400000000000001</v>
      </c>
      <c r="O254">
        <v>-0.38687917590141302</v>
      </c>
      <c r="P254">
        <v>-0.30246177315711997</v>
      </c>
    </row>
    <row r="255" spans="1:16" x14ac:dyDescent="0.25">
      <c r="A255" t="s">
        <v>39</v>
      </c>
      <c r="B255" s="1" t="s">
        <v>91</v>
      </c>
      <c r="C255">
        <v>2009</v>
      </c>
      <c r="D255">
        <v>45162894380.931801</v>
      </c>
      <c r="E255">
        <v>2407363947.6417789</v>
      </c>
      <c r="F255">
        <v>3190566</v>
      </c>
      <c r="G255">
        <f t="shared" si="26"/>
        <v>24.533541665868768</v>
      </c>
      <c r="H255">
        <f t="shared" si="27"/>
        <v>21.601798188156739</v>
      </c>
      <c r="I255">
        <f t="shared" si="28"/>
        <v>14.975708888489367</v>
      </c>
      <c r="J255">
        <f t="shared" si="29"/>
        <v>6.6260892996673721</v>
      </c>
      <c r="K255">
        <v>0.81730002164840698</v>
      </c>
      <c r="L255">
        <v>40</v>
      </c>
      <c r="M255">
        <f t="shared" si="30"/>
        <v>3.6888794541139363</v>
      </c>
      <c r="N255" s="2">
        <v>0.76600000000000001</v>
      </c>
      <c r="O255">
        <v>-0.18295058608055101</v>
      </c>
      <c r="P255">
        <v>-0.31794339418411299</v>
      </c>
    </row>
    <row r="256" spans="1:16" x14ac:dyDescent="0.25">
      <c r="A256" t="s">
        <v>39</v>
      </c>
      <c r="B256" s="1" t="s">
        <v>91</v>
      </c>
      <c r="C256">
        <v>2010</v>
      </c>
      <c r="D256">
        <v>41819468691.82505</v>
      </c>
      <c r="E256">
        <v>2249950790.5039182</v>
      </c>
      <c r="F256">
        <v>3103533</v>
      </c>
      <c r="G256">
        <f t="shared" si="26"/>
        <v>24.45662782622308</v>
      </c>
      <c r="H256">
        <f t="shared" si="27"/>
        <v>21.53417418203642</v>
      </c>
      <c r="I256">
        <f t="shared" si="28"/>
        <v>14.948051697935426</v>
      </c>
      <c r="J256">
        <f t="shared" si="29"/>
        <v>6.5861224841009935</v>
      </c>
      <c r="K256">
        <v>0.70227998495101895</v>
      </c>
      <c r="L256">
        <v>39</v>
      </c>
      <c r="M256">
        <f t="shared" si="30"/>
        <v>3.6635616461296463</v>
      </c>
      <c r="N256" s="2">
        <v>0.76800000000000002</v>
      </c>
      <c r="O256">
        <v>-6.5657973289489704E-2</v>
      </c>
      <c r="P256">
        <v>-0.31941553950309798</v>
      </c>
    </row>
    <row r="257" spans="1:16" x14ac:dyDescent="0.25">
      <c r="A257" t="s">
        <v>39</v>
      </c>
      <c r="B257" s="1" t="s">
        <v>91</v>
      </c>
      <c r="C257">
        <v>2011</v>
      </c>
      <c r="D257">
        <v>49258136128.967155</v>
      </c>
      <c r="E257">
        <v>2721004344.5415049</v>
      </c>
      <c r="F257">
        <v>3091745</v>
      </c>
      <c r="G257">
        <f t="shared" si="26"/>
        <v>24.620340391508559</v>
      </c>
      <c r="H257">
        <f t="shared" si="27"/>
        <v>21.724266893417141</v>
      </c>
      <c r="I257">
        <f t="shared" si="28"/>
        <v>14.944246214395912</v>
      </c>
      <c r="J257">
        <f t="shared" si="29"/>
        <v>6.780020679021229</v>
      </c>
      <c r="K257">
        <v>0.68334001302719105</v>
      </c>
      <c r="L257">
        <v>49</v>
      </c>
      <c r="M257">
        <f t="shared" si="30"/>
        <v>3.8918202981106265</v>
      </c>
      <c r="N257" s="2">
        <v>0.77300000000000002</v>
      </c>
      <c r="O257">
        <v>-1.6896951943635899E-2</v>
      </c>
      <c r="P257">
        <v>-0.29928621649742099</v>
      </c>
    </row>
    <row r="258" spans="1:16" x14ac:dyDescent="0.25">
      <c r="A258" t="s">
        <v>39</v>
      </c>
      <c r="B258" s="1" t="s">
        <v>91</v>
      </c>
      <c r="C258">
        <v>2012</v>
      </c>
      <c r="D258">
        <v>43309252921.056732</v>
      </c>
      <c r="E258">
        <v>2376730212.4621902</v>
      </c>
      <c r="F258">
        <v>3108558</v>
      </c>
      <c r="G258">
        <f t="shared" si="26"/>
        <v>24.491632142452634</v>
      </c>
      <c r="H258">
        <f t="shared" si="27"/>
        <v>21.58899151970844</v>
      </c>
      <c r="I258">
        <f t="shared" si="28"/>
        <v>14.949669511034431</v>
      </c>
      <c r="J258">
        <f t="shared" si="29"/>
        <v>6.639322008674009</v>
      </c>
      <c r="K258">
        <v>0.85316002368927002</v>
      </c>
      <c r="L258">
        <v>32</v>
      </c>
      <c r="M258">
        <f t="shared" si="30"/>
        <v>3.4657359027997265</v>
      </c>
      <c r="N258" s="2">
        <v>0.78</v>
      </c>
      <c r="O258">
        <v>-7.0326253771781894E-2</v>
      </c>
      <c r="P258">
        <v>-0.357432961463928</v>
      </c>
    </row>
    <row r="259" spans="1:16" x14ac:dyDescent="0.25">
      <c r="A259" t="s">
        <v>39</v>
      </c>
      <c r="B259" s="1" t="s">
        <v>91</v>
      </c>
      <c r="C259">
        <v>2013</v>
      </c>
      <c r="D259">
        <v>48394239474.676163</v>
      </c>
      <c r="E259">
        <v>4433191363.4394054</v>
      </c>
      <c r="F259">
        <v>3157875</v>
      </c>
      <c r="G259">
        <f t="shared" si="26"/>
        <v>24.6026466244674</v>
      </c>
      <c r="H259">
        <f t="shared" si="27"/>
        <v>22.21238555970891</v>
      </c>
      <c r="I259">
        <f t="shared" si="28"/>
        <v>14.965409891000403</v>
      </c>
      <c r="J259">
        <f t="shared" si="29"/>
        <v>7.2469756687085063</v>
      </c>
      <c r="K259">
        <v>0.68366998434066795</v>
      </c>
      <c r="L259">
        <v>20</v>
      </c>
      <c r="M259">
        <f t="shared" si="30"/>
        <v>2.9957322735539909</v>
      </c>
      <c r="N259" s="2">
        <v>0.78500000000000003</v>
      </c>
      <c r="O259">
        <v>-6.26247003674507E-2</v>
      </c>
      <c r="P259">
        <v>-0.327525734901428</v>
      </c>
    </row>
    <row r="260" spans="1:16" x14ac:dyDescent="0.25">
      <c r="A260" t="s">
        <v>39</v>
      </c>
      <c r="B260" s="1" t="s">
        <v>91</v>
      </c>
      <c r="C260">
        <v>2014</v>
      </c>
      <c r="D260">
        <v>47062202418.886429</v>
      </c>
      <c r="E260">
        <v>3974934400.9977317</v>
      </c>
      <c r="F260">
        <v>3171544</v>
      </c>
      <c r="G260">
        <f t="shared" si="26"/>
        <v>24.574736019381863</v>
      </c>
      <c r="H260">
        <f t="shared" si="27"/>
        <v>22.103274082022878</v>
      </c>
      <c r="I260">
        <f t="shared" si="28"/>
        <v>14.969729093521257</v>
      </c>
      <c r="J260">
        <f t="shared" si="29"/>
        <v>7.1335449885016207</v>
      </c>
      <c r="K260">
        <v>0.72308999300003096</v>
      </c>
      <c r="L260">
        <v>10</v>
      </c>
      <c r="M260">
        <f t="shared" si="30"/>
        <v>2.3025850929940459</v>
      </c>
      <c r="N260" s="2">
        <v>0.78700000000000003</v>
      </c>
      <c r="O260">
        <v>0.18143416941165899</v>
      </c>
      <c r="P260">
        <v>-0.24708949029445601</v>
      </c>
    </row>
    <row r="261" spans="1:16" x14ac:dyDescent="0.25">
      <c r="A261" t="s">
        <v>39</v>
      </c>
      <c r="B261" s="1" t="s">
        <v>91</v>
      </c>
      <c r="C261">
        <v>2015</v>
      </c>
      <c r="D261">
        <v>39655949731.381615</v>
      </c>
      <c r="E261">
        <v>4615849852.1639662</v>
      </c>
      <c r="F261">
        <v>3135688</v>
      </c>
      <c r="G261">
        <f t="shared" si="26"/>
        <v>24.403506830046915</v>
      </c>
      <c r="H261">
        <f t="shared" si="27"/>
        <v>22.252761837929057</v>
      </c>
      <c r="I261">
        <f t="shared" si="28"/>
        <v>14.95835916570708</v>
      </c>
      <c r="J261">
        <f t="shared" si="29"/>
        <v>7.2944026722219775</v>
      </c>
      <c r="K261">
        <v>0.81089997291564897</v>
      </c>
      <c r="L261">
        <v>13</v>
      </c>
      <c r="M261">
        <f t="shared" si="30"/>
        <v>2.5649493574615367</v>
      </c>
      <c r="N261" s="2">
        <v>0.79400000000000004</v>
      </c>
      <c r="O261">
        <v>0.13626281917095201</v>
      </c>
      <c r="P261">
        <v>-0.31808438897132901</v>
      </c>
    </row>
    <row r="262" spans="1:16" x14ac:dyDescent="0.25">
      <c r="A262" t="s">
        <v>39</v>
      </c>
      <c r="B262" s="1" t="s">
        <v>91</v>
      </c>
      <c r="C262">
        <v>2016</v>
      </c>
      <c r="D262">
        <v>40692661657.283997</v>
      </c>
      <c r="E262">
        <v>5392706634.7885046</v>
      </c>
      <c r="F262">
        <v>3229602</v>
      </c>
      <c r="G262">
        <f t="shared" si="26"/>
        <v>24.429313609877539</v>
      </c>
      <c r="H262">
        <f t="shared" si="27"/>
        <v>22.408313254415734</v>
      </c>
      <c r="I262">
        <f t="shared" si="28"/>
        <v>14.987869467792413</v>
      </c>
      <c r="J262">
        <f t="shared" si="29"/>
        <v>7.4204437866233217</v>
      </c>
      <c r="K262">
        <v>0.83822000026702903</v>
      </c>
      <c r="L262">
        <v>21</v>
      </c>
      <c r="M262">
        <f t="shared" si="30"/>
        <v>3.044522437723423</v>
      </c>
      <c r="N262" s="2">
        <v>0.8</v>
      </c>
      <c r="O262">
        <v>2.4931238964199999E-2</v>
      </c>
      <c r="P262">
        <v>-0.38253566622734098</v>
      </c>
    </row>
    <row r="263" spans="1:16" x14ac:dyDescent="0.25">
      <c r="A263" t="s">
        <v>39</v>
      </c>
      <c r="B263" s="1" t="s">
        <v>91</v>
      </c>
      <c r="C263">
        <v>2017</v>
      </c>
      <c r="D263">
        <v>44179075778.926743</v>
      </c>
      <c r="E263">
        <v>5739143467.1027021</v>
      </c>
      <c r="F263">
        <v>3256850</v>
      </c>
      <c r="G263">
        <f t="shared" si="26"/>
        <v>24.511517115274721</v>
      </c>
      <c r="H263">
        <f t="shared" si="27"/>
        <v>22.470575814384102</v>
      </c>
      <c r="I263">
        <f t="shared" si="28"/>
        <v>14.996271028546303</v>
      </c>
      <c r="J263">
        <f t="shared" si="29"/>
        <v>7.4743047858377984</v>
      </c>
      <c r="K263">
        <v>0.87238001823425304</v>
      </c>
      <c r="L263">
        <v>13</v>
      </c>
      <c r="M263">
        <f t="shared" si="30"/>
        <v>2.5649493574615367</v>
      </c>
      <c r="N263" s="2">
        <v>0.80200000000000005</v>
      </c>
      <c r="O263">
        <v>-4.6573337167501498E-2</v>
      </c>
      <c r="P263">
        <v>-0.43545153737068198</v>
      </c>
    </row>
    <row r="264" spans="1:16" x14ac:dyDescent="0.25">
      <c r="A264" t="s">
        <v>39</v>
      </c>
      <c r="B264" s="1" t="s">
        <v>91</v>
      </c>
      <c r="C264">
        <v>2018</v>
      </c>
      <c r="D264">
        <v>50640662859.498726</v>
      </c>
      <c r="E264">
        <v>7104501793.4850559</v>
      </c>
      <c r="F264">
        <v>3275646</v>
      </c>
      <c r="G264">
        <f t="shared" si="26"/>
        <v>24.648020704339213</v>
      </c>
      <c r="H264">
        <f t="shared" si="27"/>
        <v>22.683994475485903</v>
      </c>
      <c r="I264">
        <f t="shared" si="28"/>
        <v>15.002025659508286</v>
      </c>
      <c r="J264">
        <f t="shared" si="29"/>
        <v>7.6819688159776174</v>
      </c>
      <c r="K264">
        <v>0.91891002655029297</v>
      </c>
      <c r="L264">
        <v>11</v>
      </c>
      <c r="M264">
        <f t="shared" si="30"/>
        <v>2.3978952727983707</v>
      </c>
      <c r="N264" s="2">
        <v>0.80800000000000005</v>
      </c>
      <c r="O264">
        <v>9.9695771932601901E-2</v>
      </c>
      <c r="P264">
        <v>-0.39632156491279602</v>
      </c>
    </row>
    <row r="265" spans="1:16" x14ac:dyDescent="0.25">
      <c r="A265" t="s">
        <v>39</v>
      </c>
      <c r="B265" s="1" t="s">
        <v>91</v>
      </c>
      <c r="C265">
        <v>2019</v>
      </c>
      <c r="D265">
        <v>51514242938.673439</v>
      </c>
      <c r="E265">
        <v>7806837535.6027632</v>
      </c>
      <c r="F265">
        <v>3272110</v>
      </c>
      <c r="G265">
        <f t="shared" si="26"/>
        <v>24.665124168295893</v>
      </c>
      <c r="H265">
        <f t="shared" si="27"/>
        <v>22.778265793774882</v>
      </c>
      <c r="I265">
        <f t="shared" si="28"/>
        <v>15.000945594721591</v>
      </c>
      <c r="J265">
        <f t="shared" si="29"/>
        <v>7.7773201990532908</v>
      </c>
      <c r="K265">
        <v>0.88666999340057395</v>
      </c>
      <c r="L265">
        <v>9</v>
      </c>
      <c r="M265">
        <f t="shared" si="30"/>
        <v>2.1972245773362196</v>
      </c>
      <c r="N265" s="2">
        <v>0.81200000000000006</v>
      </c>
      <c r="O265">
        <v>9.7264789044856997E-2</v>
      </c>
      <c r="P265">
        <v>-0.44998925924301098</v>
      </c>
    </row>
    <row r="266" spans="1:16" x14ac:dyDescent="0.25">
      <c r="A266" t="s">
        <v>39</v>
      </c>
      <c r="B266" s="1" t="s">
        <v>91</v>
      </c>
      <c r="C266">
        <v>2020</v>
      </c>
      <c r="D266">
        <v>53356484591.437813</v>
      </c>
      <c r="E266">
        <v>8487383283.5811405</v>
      </c>
      <c r="F266">
        <v>3218733</v>
      </c>
      <c r="G266">
        <f t="shared" si="26"/>
        <v>24.700261355413478</v>
      </c>
      <c r="H266">
        <f t="shared" si="27"/>
        <v>22.861846578170386</v>
      </c>
      <c r="I266">
        <f t="shared" si="28"/>
        <v>14.984498361826837</v>
      </c>
      <c r="J266">
        <f t="shared" si="29"/>
        <v>7.8773482163435489</v>
      </c>
      <c r="K266">
        <v>0.90557998418807995</v>
      </c>
      <c r="L266">
        <v>8</v>
      </c>
      <c r="M266">
        <f t="shared" si="30"/>
        <v>2.0794415416798357</v>
      </c>
      <c r="N266" s="2">
        <v>0.80600000000000005</v>
      </c>
      <c r="O266">
        <v>8.0396354198455797E-2</v>
      </c>
      <c r="P266">
        <v>-0.45121812820434598</v>
      </c>
    </row>
    <row r="267" spans="1:16" x14ac:dyDescent="0.25">
      <c r="A267" t="s">
        <v>16</v>
      </c>
      <c r="B267" s="1" t="s">
        <v>98</v>
      </c>
      <c r="C267">
        <v>2005</v>
      </c>
      <c r="D267">
        <v>288867217196.534</v>
      </c>
      <c r="E267">
        <v>58518639327.928993</v>
      </c>
      <c r="F267">
        <v>20382896</v>
      </c>
      <c r="G267">
        <f t="shared" si="26"/>
        <v>26.389232963409206</v>
      </c>
      <c r="H267">
        <f t="shared" si="27"/>
        <v>24.792611161425572</v>
      </c>
      <c r="I267">
        <f t="shared" si="28"/>
        <v>16.830206675761726</v>
      </c>
      <c r="J267">
        <f t="shared" si="29"/>
        <v>7.9624044856638463</v>
      </c>
      <c r="K267">
        <v>0.77024000883102395</v>
      </c>
      <c r="L267">
        <v>6001</v>
      </c>
      <c r="M267">
        <f t="shared" si="30"/>
        <v>8.6996814009895136</v>
      </c>
      <c r="N267" s="2">
        <v>0.63200000000000001</v>
      </c>
      <c r="O267">
        <v>0.71509718894958496</v>
      </c>
      <c r="P267">
        <v>0.48385718464851402</v>
      </c>
    </row>
    <row r="268" spans="1:16" x14ac:dyDescent="0.25">
      <c r="A268" t="s">
        <v>16</v>
      </c>
      <c r="B268" s="1" t="s">
        <v>98</v>
      </c>
      <c r="C268">
        <v>2006</v>
      </c>
      <c r="D268">
        <v>303858675363.64276</v>
      </c>
      <c r="E268">
        <v>62516358458.013077</v>
      </c>
      <c r="F268">
        <v>20703758</v>
      </c>
      <c r="G268">
        <f t="shared" si="26"/>
        <v>26.43982854658849</v>
      </c>
      <c r="H268">
        <f t="shared" si="27"/>
        <v>24.858694094770261</v>
      </c>
      <c r="I268">
        <f t="shared" si="28"/>
        <v>16.845825787651854</v>
      </c>
      <c r="J268">
        <f t="shared" si="29"/>
        <v>8.0128683071184064</v>
      </c>
      <c r="K268">
        <v>0.80290997028350797</v>
      </c>
      <c r="L268">
        <v>6739</v>
      </c>
      <c r="M268">
        <f t="shared" si="30"/>
        <v>8.8156668249462165</v>
      </c>
      <c r="N268" s="2">
        <v>0.63700000000000001</v>
      </c>
      <c r="O268">
        <v>0.74697268009185802</v>
      </c>
      <c r="P268">
        <v>0.37827143073081998</v>
      </c>
    </row>
    <row r="269" spans="1:16" x14ac:dyDescent="0.25">
      <c r="A269" t="s">
        <v>16</v>
      </c>
      <c r="B269" s="1" t="s">
        <v>98</v>
      </c>
      <c r="C269">
        <v>2007</v>
      </c>
      <c r="D269">
        <v>333077117253.68378</v>
      </c>
      <c r="E269">
        <v>68765448858.930649</v>
      </c>
      <c r="F269">
        <v>21021772</v>
      </c>
      <c r="G269">
        <f t="shared" si="26"/>
        <v>26.531639883459967</v>
      </c>
      <c r="H269">
        <f t="shared" si="27"/>
        <v>24.953967258924784</v>
      </c>
      <c r="I269">
        <f t="shared" si="28"/>
        <v>16.861069220526009</v>
      </c>
      <c r="J269">
        <f t="shared" si="29"/>
        <v>8.0928980383987756</v>
      </c>
      <c r="K269">
        <v>0.79364001750946001</v>
      </c>
      <c r="L269">
        <v>7402</v>
      </c>
      <c r="M269">
        <f t="shared" si="30"/>
        <v>8.9095055129461009</v>
      </c>
      <c r="N269" s="2">
        <v>0.64400000000000002</v>
      </c>
      <c r="O269">
        <v>0.59566634893417403</v>
      </c>
      <c r="P269">
        <v>0.19767248630523701</v>
      </c>
    </row>
    <row r="270" spans="1:16" x14ac:dyDescent="0.25">
      <c r="A270" t="s">
        <v>16</v>
      </c>
      <c r="B270" s="1" t="s">
        <v>98</v>
      </c>
      <c r="C270">
        <v>2008</v>
      </c>
      <c r="D270">
        <v>316131258616.30902</v>
      </c>
      <c r="E270">
        <v>62879361530.369057</v>
      </c>
      <c r="F270">
        <v>21338378</v>
      </c>
      <c r="G270">
        <f t="shared" si="26"/>
        <v>26.479423339656922</v>
      </c>
      <c r="H270">
        <f t="shared" si="27"/>
        <v>24.864483831236694</v>
      </c>
      <c r="I270">
        <f t="shared" si="28"/>
        <v>16.87601779345151</v>
      </c>
      <c r="J270">
        <f t="shared" si="29"/>
        <v>7.9884660377851837</v>
      </c>
      <c r="K270">
        <v>0.80567002296447798</v>
      </c>
      <c r="L270">
        <v>7081</v>
      </c>
      <c r="M270">
        <f t="shared" si="30"/>
        <v>8.8651704196517738</v>
      </c>
      <c r="N270" s="2">
        <v>0.65300000000000002</v>
      </c>
      <c r="O270">
        <v>0.65696722269058205</v>
      </c>
      <c r="P270">
        <v>0.153828725218773</v>
      </c>
    </row>
    <row r="271" spans="1:16" x14ac:dyDescent="0.25">
      <c r="A271" t="s">
        <v>16</v>
      </c>
      <c r="B271" s="1" t="s">
        <v>98</v>
      </c>
      <c r="C271">
        <v>2009</v>
      </c>
      <c r="D271">
        <v>329754060647.12897</v>
      </c>
      <c r="E271">
        <v>66614683937.569458</v>
      </c>
      <c r="F271">
        <v>21088301</v>
      </c>
      <c r="G271">
        <f t="shared" si="26"/>
        <v>26.521612942788344</v>
      </c>
      <c r="H271">
        <f t="shared" si="27"/>
        <v>24.922190869733797</v>
      </c>
      <c r="I271">
        <f t="shared" si="28"/>
        <v>16.86422898970299</v>
      </c>
      <c r="J271">
        <f t="shared" si="29"/>
        <v>8.0579618800308062</v>
      </c>
      <c r="K271">
        <v>0.74993002414703402</v>
      </c>
      <c r="L271">
        <v>5913</v>
      </c>
      <c r="M271">
        <f t="shared" si="30"/>
        <v>8.6849085958208292</v>
      </c>
      <c r="N271" s="2">
        <v>0.66500000000000004</v>
      </c>
      <c r="O271">
        <v>0.44918203353881803</v>
      </c>
      <c r="P271">
        <v>0.12542669475078599</v>
      </c>
    </row>
    <row r="272" spans="1:16" x14ac:dyDescent="0.25">
      <c r="A272" t="s">
        <v>16</v>
      </c>
      <c r="B272" s="1" t="s">
        <v>98</v>
      </c>
      <c r="C272">
        <v>2010</v>
      </c>
      <c r="D272">
        <v>417363822801.71265</v>
      </c>
      <c r="E272">
        <v>81955425556.006912</v>
      </c>
      <c r="F272">
        <v>19990943</v>
      </c>
      <c r="G272">
        <f t="shared" si="26"/>
        <v>26.757224155101333</v>
      </c>
      <c r="H272">
        <f t="shared" si="27"/>
        <v>25.129441345631228</v>
      </c>
      <c r="I272">
        <f t="shared" si="28"/>
        <v>16.810789878950736</v>
      </c>
      <c r="J272">
        <f t="shared" si="29"/>
        <v>8.3186514666804925</v>
      </c>
      <c r="K272">
        <v>0.66284000873565696</v>
      </c>
      <c r="L272">
        <v>5562</v>
      </c>
      <c r="M272">
        <f t="shared" si="30"/>
        <v>8.6237130347939104</v>
      </c>
      <c r="N272" s="2">
        <v>0.67500000000000004</v>
      </c>
      <c r="O272">
        <v>0.445573270320892</v>
      </c>
      <c r="P272">
        <v>6.5393097698688493E-2</v>
      </c>
    </row>
    <row r="273" spans="1:16" x14ac:dyDescent="0.25">
      <c r="A273" t="s">
        <v>16</v>
      </c>
      <c r="B273" s="1" t="s">
        <v>98</v>
      </c>
      <c r="C273">
        <v>2011</v>
      </c>
      <c r="D273">
        <v>458199494830.83356</v>
      </c>
      <c r="E273">
        <v>86471778215.848434</v>
      </c>
      <c r="F273">
        <v>21055801</v>
      </c>
      <c r="G273">
        <f t="shared" si="26"/>
        <v>26.850570504457195</v>
      </c>
      <c r="H273">
        <f t="shared" si="27"/>
        <v>25.183083934248167</v>
      </c>
      <c r="I273">
        <f t="shared" si="28"/>
        <v>16.86268666207468</v>
      </c>
      <c r="J273">
        <f t="shared" si="29"/>
        <v>8.3203972721734871</v>
      </c>
      <c r="K273">
        <v>0.66753000020980802</v>
      </c>
      <c r="L273">
        <v>6589</v>
      </c>
      <c r="M273">
        <f t="shared" si="30"/>
        <v>8.793156870913819</v>
      </c>
      <c r="N273" s="2">
        <v>0.68600000000000005</v>
      </c>
      <c r="O273">
        <v>0.44640627503395103</v>
      </c>
      <c r="P273">
        <v>-4.2337053455412397E-3</v>
      </c>
    </row>
    <row r="274" spans="1:16" x14ac:dyDescent="0.25">
      <c r="A274" t="s">
        <v>16</v>
      </c>
      <c r="B274" s="1" t="s">
        <v>98</v>
      </c>
      <c r="C274">
        <v>2012</v>
      </c>
      <c r="D274">
        <v>434400545085.8111</v>
      </c>
      <c r="E274">
        <v>73317809814.979477</v>
      </c>
      <c r="F274">
        <v>21285409</v>
      </c>
      <c r="G274">
        <f t="shared" si="26"/>
        <v>26.79723286036694</v>
      </c>
      <c r="H274">
        <f t="shared" si="27"/>
        <v>25.01806938788118</v>
      </c>
      <c r="I274">
        <f t="shared" si="28"/>
        <v>16.87353237246969</v>
      </c>
      <c r="J274">
        <f t="shared" si="29"/>
        <v>8.1445370154114904</v>
      </c>
      <c r="K274">
        <v>0.66934001445770297</v>
      </c>
      <c r="L274">
        <v>6836</v>
      </c>
      <c r="M274">
        <f t="shared" si="30"/>
        <v>8.8299580442354824</v>
      </c>
      <c r="N274" s="2">
        <v>0.69599999999999995</v>
      </c>
      <c r="O274">
        <v>0.39866167306900002</v>
      </c>
      <c r="P274">
        <v>-0.18417060375213601</v>
      </c>
    </row>
    <row r="275" spans="1:16" x14ac:dyDescent="0.25">
      <c r="A275" t="s">
        <v>16</v>
      </c>
      <c r="B275" s="1" t="s">
        <v>98</v>
      </c>
      <c r="C275">
        <v>2013</v>
      </c>
      <c r="D275">
        <v>400886013595.57318</v>
      </c>
      <c r="E275">
        <v>68360254056.910736</v>
      </c>
      <c r="F275">
        <v>21678833</v>
      </c>
      <c r="G275">
        <f t="shared" si="26"/>
        <v>26.716942968472129</v>
      </c>
      <c r="H275">
        <f t="shared" si="27"/>
        <v>24.948057411642584</v>
      </c>
      <c r="I275">
        <f t="shared" si="28"/>
        <v>16.891846904673635</v>
      </c>
      <c r="J275">
        <f t="shared" si="29"/>
        <v>8.0562105069689487</v>
      </c>
      <c r="K275">
        <v>0.66329997777938798</v>
      </c>
      <c r="L275">
        <v>6657</v>
      </c>
      <c r="M275">
        <f t="shared" si="30"/>
        <v>8.8034242116007029</v>
      </c>
      <c r="N275" s="2">
        <v>0.70499999999999996</v>
      </c>
      <c r="O275">
        <v>0.38048246502876298</v>
      </c>
      <c r="P275">
        <v>-0.13783153891563399</v>
      </c>
    </row>
    <row r="276" spans="1:16" x14ac:dyDescent="0.25">
      <c r="A276" t="s">
        <v>16</v>
      </c>
      <c r="B276" s="1" t="s">
        <v>98</v>
      </c>
      <c r="C276">
        <v>2014</v>
      </c>
      <c r="D276">
        <v>381198869776.10565</v>
      </c>
      <c r="E276">
        <v>64764267142.488289</v>
      </c>
      <c r="F276">
        <v>21981198</v>
      </c>
      <c r="G276">
        <f t="shared" si="26"/>
        <v>26.666587043811532</v>
      </c>
      <c r="H276">
        <f t="shared" si="27"/>
        <v>24.894019855223263</v>
      </c>
      <c r="I276">
        <f t="shared" si="28"/>
        <v>16.905698009549088</v>
      </c>
      <c r="J276">
        <f t="shared" si="29"/>
        <v>7.9883218456741751</v>
      </c>
      <c r="K276">
        <v>0.70986998081207298</v>
      </c>
      <c r="L276">
        <v>6750</v>
      </c>
      <c r="M276">
        <f t="shared" si="30"/>
        <v>8.8172977838665751</v>
      </c>
      <c r="N276" s="2">
        <v>0.71399999999999997</v>
      </c>
      <c r="O276">
        <v>0.23083372414112099</v>
      </c>
      <c r="P276">
        <v>-0.124875418841839</v>
      </c>
    </row>
    <row r="277" spans="1:16" x14ac:dyDescent="0.25">
      <c r="A277" t="s">
        <v>16</v>
      </c>
      <c r="B277" s="1" t="s">
        <v>98</v>
      </c>
      <c r="C277">
        <v>2015</v>
      </c>
      <c r="D277">
        <v>346709790458.56305</v>
      </c>
      <c r="E277">
        <v>60097997898.15461</v>
      </c>
      <c r="F277">
        <v>23120551</v>
      </c>
      <c r="G277">
        <f t="shared" si="26"/>
        <v>26.57175392823078</v>
      </c>
      <c r="H277">
        <f t="shared" si="27"/>
        <v>24.819242365090002</v>
      </c>
      <c r="I277">
        <f t="shared" si="28"/>
        <v>16.9562324336644</v>
      </c>
      <c r="J277">
        <f t="shared" si="29"/>
        <v>7.8630099314256015</v>
      </c>
      <c r="K277">
        <v>0.73146998882293701</v>
      </c>
      <c r="L277">
        <v>6608</v>
      </c>
      <c r="M277">
        <f t="shared" si="30"/>
        <v>8.7960363152008139</v>
      </c>
      <c r="N277" s="2">
        <v>0.72099999999999997</v>
      </c>
      <c r="O277">
        <v>0.208593904972076</v>
      </c>
      <c r="P277">
        <v>-7.0510439574718503E-2</v>
      </c>
    </row>
    <row r="278" spans="1:16" x14ac:dyDescent="0.25">
      <c r="A278" t="s">
        <v>16</v>
      </c>
      <c r="B278" s="1" t="s">
        <v>98</v>
      </c>
      <c r="C278">
        <v>2016</v>
      </c>
      <c r="D278">
        <v>323585509674.48059</v>
      </c>
      <c r="E278">
        <v>56340668341.401062</v>
      </c>
      <c r="F278">
        <v>23430091</v>
      </c>
      <c r="G278">
        <f t="shared" si="26"/>
        <v>26.502729242619139</v>
      </c>
      <c r="H278">
        <f t="shared" si="27"/>
        <v>24.754682461968954</v>
      </c>
      <c r="I278">
        <f t="shared" si="28"/>
        <v>16.969531694385953</v>
      </c>
      <c r="J278">
        <f t="shared" si="29"/>
        <v>7.7851507675830014</v>
      </c>
      <c r="K278">
        <v>0.74992001056671098</v>
      </c>
      <c r="L278">
        <v>6506</v>
      </c>
      <c r="M278">
        <f t="shared" si="30"/>
        <v>8.7804801070332967</v>
      </c>
      <c r="N278" s="2">
        <v>0.71099999999999997</v>
      </c>
      <c r="O278">
        <v>0.119783155620098</v>
      </c>
      <c r="P278">
        <v>1.7409462481737099E-2</v>
      </c>
    </row>
    <row r="279" spans="1:16" x14ac:dyDescent="0.25">
      <c r="A279" t="s">
        <v>16</v>
      </c>
      <c r="B279" s="1" t="s">
        <v>98</v>
      </c>
      <c r="C279">
        <v>2017</v>
      </c>
      <c r="D279">
        <v>381448814653.45642</v>
      </c>
      <c r="E279">
        <v>67726054315.738869</v>
      </c>
      <c r="F279">
        <v>23776332</v>
      </c>
      <c r="G279">
        <f t="shared" si="26"/>
        <v>26.667242510002286</v>
      </c>
      <c r="H279">
        <f t="shared" si="27"/>
        <v>24.938736792396824</v>
      </c>
      <c r="I279">
        <f t="shared" si="28"/>
        <v>16.984201190062965</v>
      </c>
      <c r="J279">
        <f t="shared" si="29"/>
        <v>7.9545356023338591</v>
      </c>
      <c r="K279">
        <v>0.76257002353668202</v>
      </c>
      <c r="L279">
        <v>6816</v>
      </c>
      <c r="M279">
        <f t="shared" si="30"/>
        <v>8.8270280685091524</v>
      </c>
      <c r="N279" s="2">
        <v>0.72499999999999998</v>
      </c>
      <c r="O279">
        <v>0.13891342282295199</v>
      </c>
      <c r="P279">
        <v>-0.127464935183525</v>
      </c>
    </row>
    <row r="280" spans="1:16" x14ac:dyDescent="0.25">
      <c r="A280" t="s">
        <v>16</v>
      </c>
      <c r="B280" s="1" t="s">
        <v>98</v>
      </c>
      <c r="C280">
        <v>2018</v>
      </c>
      <c r="D280">
        <v>405260723892.51685</v>
      </c>
      <c r="E280">
        <v>67593888593.604042</v>
      </c>
      <c r="F280">
        <v>23771537</v>
      </c>
      <c r="G280">
        <f t="shared" si="26"/>
        <v>26.727796459624205</v>
      </c>
      <c r="H280">
        <f t="shared" si="27"/>
        <v>24.936783410488456</v>
      </c>
      <c r="I280">
        <f t="shared" si="28"/>
        <v>16.983999498583742</v>
      </c>
      <c r="J280">
        <f t="shared" si="29"/>
        <v>7.9527839119047137</v>
      </c>
      <c r="K280">
        <v>0.68773001432418801</v>
      </c>
      <c r="L280">
        <v>6258</v>
      </c>
      <c r="M280">
        <f t="shared" si="30"/>
        <v>8.741615924228828</v>
      </c>
      <c r="N280" s="2">
        <v>0.73099999999999998</v>
      </c>
      <c r="O280">
        <v>-4.0778167545795399E-2</v>
      </c>
      <c r="P280">
        <v>-0.13632808625698101</v>
      </c>
    </row>
    <row r="281" spans="1:16" x14ac:dyDescent="0.25">
      <c r="A281" t="s">
        <v>16</v>
      </c>
      <c r="B281" s="1" t="s">
        <v>98</v>
      </c>
      <c r="C281">
        <v>2019</v>
      </c>
      <c r="D281">
        <v>389330032224.2691</v>
      </c>
      <c r="E281">
        <v>63566131531.134842</v>
      </c>
      <c r="F281">
        <v>24142655</v>
      </c>
      <c r="G281">
        <f t="shared" si="26"/>
        <v>26.687693232754508</v>
      </c>
      <c r="H281">
        <f t="shared" si="27"/>
        <v>24.875346642356341</v>
      </c>
      <c r="I281">
        <f t="shared" si="28"/>
        <v>16.999490751015916</v>
      </c>
      <c r="J281">
        <f t="shared" si="29"/>
        <v>7.8758558913404251</v>
      </c>
      <c r="K281">
        <v>0.61430001258850098</v>
      </c>
      <c r="L281">
        <v>6347</v>
      </c>
      <c r="M281">
        <f t="shared" si="30"/>
        <v>8.7557375393064696</v>
      </c>
      <c r="N281" s="2">
        <v>0.74099999999999999</v>
      </c>
      <c r="O281">
        <v>8.5053909569978697E-3</v>
      </c>
      <c r="P281">
        <v>-3.1051725149154701E-2</v>
      </c>
    </row>
    <row r="282" spans="1:16" x14ac:dyDescent="0.25">
      <c r="A282" t="s">
        <v>16</v>
      </c>
      <c r="B282" s="1" t="s">
        <v>98</v>
      </c>
      <c r="C282">
        <v>2020</v>
      </c>
      <c r="D282">
        <v>338291396026.69769</v>
      </c>
      <c r="E282">
        <v>57189493681.460808</v>
      </c>
      <c r="F282">
        <v>22920638</v>
      </c>
      <c r="G282">
        <f t="shared" si="26"/>
        <v>26.547173479440978</v>
      </c>
      <c r="H282">
        <f t="shared" si="27"/>
        <v>24.76963604156396</v>
      </c>
      <c r="I282">
        <f t="shared" si="28"/>
        <v>16.947548285374534</v>
      </c>
      <c r="J282">
        <f t="shared" si="29"/>
        <v>7.8220877561894255</v>
      </c>
      <c r="K282">
        <v>0.60360002517700195</v>
      </c>
      <c r="L282">
        <v>6146</v>
      </c>
      <c r="M282">
        <f t="shared" si="30"/>
        <v>8.7235567426904304</v>
      </c>
      <c r="N282" s="2">
        <v>0.72199999999999998</v>
      </c>
      <c r="O282">
        <v>2.0494822412729301E-2</v>
      </c>
      <c r="P282">
        <v>-5.8959815651178402E-2</v>
      </c>
    </row>
    <row r="283" spans="1:16" x14ac:dyDescent="0.25">
      <c r="A283" t="s">
        <v>70</v>
      </c>
      <c r="B283" s="1" t="s">
        <v>56</v>
      </c>
      <c r="C283">
        <v>2015</v>
      </c>
      <c r="D283">
        <v>8271431485.0748415</v>
      </c>
      <c r="E283">
        <v>1423224644.2830796</v>
      </c>
      <c r="F283">
        <v>2290338</v>
      </c>
      <c r="G283">
        <f t="shared" si="26"/>
        <v>22.836073424724283</v>
      </c>
      <c r="H283">
        <f t="shared" si="27"/>
        <v>21.076191010272694</v>
      </c>
      <c r="I283">
        <f t="shared" si="28"/>
        <v>14.644209962892146</v>
      </c>
      <c r="J283">
        <f t="shared" si="29"/>
        <v>6.4319810473805479</v>
      </c>
      <c r="K283">
        <v>0.10339999943971601</v>
      </c>
      <c r="L283">
        <v>1</v>
      </c>
      <c r="M283">
        <f t="shared" si="30"/>
        <v>0</v>
      </c>
      <c r="N283" s="2">
        <v>0.65100000000000002</v>
      </c>
      <c r="O283">
        <v>-1.0641844272613501</v>
      </c>
      <c r="P283">
        <v>-1.14801597595215</v>
      </c>
    </row>
    <row r="284" spans="1:16" x14ac:dyDescent="0.25">
      <c r="A284" t="s">
        <v>70</v>
      </c>
      <c r="B284" s="1" t="s">
        <v>56</v>
      </c>
      <c r="C284">
        <v>2019</v>
      </c>
      <c r="D284">
        <v>8300813599.3084002</v>
      </c>
      <c r="E284">
        <v>1046213645.2877418</v>
      </c>
      <c r="F284">
        <v>2439477</v>
      </c>
      <c r="G284">
        <f t="shared" si="26"/>
        <v>22.839619370957983</v>
      </c>
      <c r="H284">
        <f t="shared" si="27"/>
        <v>20.76844343153007</v>
      </c>
      <c r="I284">
        <f t="shared" si="28"/>
        <v>14.707294230032074</v>
      </c>
      <c r="J284">
        <f t="shared" si="29"/>
        <v>6.0611492014979955</v>
      </c>
      <c r="K284">
        <v>9.3670003116130801E-2</v>
      </c>
      <c r="L284">
        <v>1</v>
      </c>
      <c r="M284">
        <f t="shared" si="30"/>
        <v>0</v>
      </c>
      <c r="N284" s="2">
        <v>0.66800000000000004</v>
      </c>
      <c r="O284">
        <v>-1.06183338165283</v>
      </c>
      <c r="P284">
        <v>-1.34555351734161</v>
      </c>
    </row>
    <row r="285" spans="1:16" x14ac:dyDescent="0.25">
      <c r="A285" t="s">
        <v>70</v>
      </c>
      <c r="B285" s="1" t="s">
        <v>56</v>
      </c>
      <c r="C285">
        <v>2020</v>
      </c>
      <c r="D285">
        <v>8133963550.6574249</v>
      </c>
      <c r="E285">
        <v>881297337.26463485</v>
      </c>
      <c r="F285">
        <v>2470914</v>
      </c>
      <c r="G285">
        <f t="shared" si="26"/>
        <v>22.819314163312161</v>
      </c>
      <c r="H285">
        <f t="shared" si="27"/>
        <v>20.596905626693072</v>
      </c>
      <c r="I285">
        <f t="shared" si="28"/>
        <v>14.720098680641895</v>
      </c>
      <c r="J285">
        <f t="shared" si="29"/>
        <v>5.8768069460511771</v>
      </c>
      <c r="K285">
        <v>8.9689999818801894E-2</v>
      </c>
      <c r="L285">
        <v>8</v>
      </c>
      <c r="M285">
        <f t="shared" si="30"/>
        <v>2.0794415416798357</v>
      </c>
      <c r="N285" s="2">
        <v>0.65600000000000003</v>
      </c>
      <c r="O285">
        <v>-1.0720577239990201</v>
      </c>
      <c r="P285">
        <v>-1.34479832649231</v>
      </c>
    </row>
    <row r="286" spans="1:16" x14ac:dyDescent="0.25">
      <c r="A286" t="s">
        <v>29</v>
      </c>
      <c r="B286" s="1" t="s">
        <v>72</v>
      </c>
      <c r="C286">
        <v>2005</v>
      </c>
      <c r="D286">
        <v>189318408468.59521</v>
      </c>
      <c r="E286">
        <v>57754413026.511856</v>
      </c>
      <c r="F286">
        <v>38143753</v>
      </c>
      <c r="G286">
        <f t="shared" si="26"/>
        <v>25.966696135381383</v>
      </c>
      <c r="H286">
        <f t="shared" si="27"/>
        <v>24.779465599472253</v>
      </c>
      <c r="I286">
        <f t="shared" si="28"/>
        <v>17.456872553924782</v>
      </c>
      <c r="J286">
        <f t="shared" si="29"/>
        <v>7.322593045547471</v>
      </c>
      <c r="K286">
        <v>0.218889996409416</v>
      </c>
      <c r="L286">
        <v>5449</v>
      </c>
      <c r="M286">
        <f t="shared" si="30"/>
        <v>8.603187384583098</v>
      </c>
      <c r="N286" s="2">
        <v>0.71499999999999997</v>
      </c>
      <c r="O286">
        <v>0.45396339893341098</v>
      </c>
      <c r="P286">
        <v>-0.20643283426761599</v>
      </c>
    </row>
    <row r="287" spans="1:16" x14ac:dyDescent="0.25">
      <c r="A287" t="s">
        <v>29</v>
      </c>
      <c r="B287" s="1" t="s">
        <v>72</v>
      </c>
      <c r="C287">
        <v>2006</v>
      </c>
      <c r="D287">
        <v>221758296021.62064</v>
      </c>
      <c r="E287">
        <v>71065947102.082809</v>
      </c>
      <c r="F287">
        <v>38276335</v>
      </c>
      <c r="G287">
        <f t="shared" si="26"/>
        <v>26.124853869033242</v>
      </c>
      <c r="H287">
        <f t="shared" si="27"/>
        <v>24.986874115313515</v>
      </c>
      <c r="I287">
        <f t="shared" si="28"/>
        <v>17.460342378063704</v>
      </c>
      <c r="J287">
        <f t="shared" si="29"/>
        <v>7.5265317372498117</v>
      </c>
      <c r="K287">
        <v>0.23271000385284399</v>
      </c>
      <c r="L287">
        <v>5221</v>
      </c>
      <c r="M287">
        <f t="shared" si="30"/>
        <v>8.5604442334105517</v>
      </c>
      <c r="N287" s="2">
        <v>0.72099999999999997</v>
      </c>
      <c r="O287">
        <v>0.229795873165131</v>
      </c>
      <c r="P287">
        <v>-0.41343030333518999</v>
      </c>
    </row>
    <row r="288" spans="1:16" x14ac:dyDescent="0.25">
      <c r="A288" t="s">
        <v>29</v>
      </c>
      <c r="B288" s="1" t="s">
        <v>72</v>
      </c>
      <c r="C288">
        <v>2007</v>
      </c>
      <c r="D288">
        <v>262942621455.05292</v>
      </c>
      <c r="E288">
        <v>88153225687.066193</v>
      </c>
      <c r="F288">
        <v>39112784</v>
      </c>
      <c r="G288">
        <f t="shared" si="26"/>
        <v>26.295201675949354</v>
      </c>
      <c r="H288">
        <f t="shared" si="27"/>
        <v>25.202342338280914</v>
      </c>
      <c r="I288">
        <f t="shared" si="28"/>
        <v>17.481959928038698</v>
      </c>
      <c r="J288">
        <f t="shared" si="29"/>
        <v>7.7203824102422161</v>
      </c>
      <c r="K288">
        <v>0.200800001621246</v>
      </c>
      <c r="L288">
        <v>5873</v>
      </c>
      <c r="M288">
        <f t="shared" si="30"/>
        <v>8.6781208555225202</v>
      </c>
      <c r="N288" s="2">
        <v>0.73199999999999998</v>
      </c>
      <c r="O288">
        <v>8.61985608935356E-2</v>
      </c>
      <c r="P288">
        <v>-0.40017232298851002</v>
      </c>
    </row>
    <row r="289" spans="1:16" x14ac:dyDescent="0.25">
      <c r="A289" t="s">
        <v>29</v>
      </c>
      <c r="B289" s="1" t="s">
        <v>72</v>
      </c>
      <c r="C289">
        <v>2008</v>
      </c>
      <c r="D289">
        <v>291382982430.95148</v>
      </c>
      <c r="E289">
        <v>93296908643.187286</v>
      </c>
      <c r="F289">
        <v>39500136</v>
      </c>
      <c r="G289">
        <f t="shared" si="26"/>
        <v>26.397904329657496</v>
      </c>
      <c r="H289">
        <f t="shared" si="27"/>
        <v>25.259052810737249</v>
      </c>
      <c r="I289">
        <f t="shared" si="28"/>
        <v>17.491814672903399</v>
      </c>
      <c r="J289">
        <f t="shared" si="29"/>
        <v>7.76723813783385</v>
      </c>
      <c r="K289">
        <v>0.20330999791622201</v>
      </c>
      <c r="L289">
        <v>5839</v>
      </c>
      <c r="M289">
        <f t="shared" si="30"/>
        <v>8.6723148282835378</v>
      </c>
      <c r="N289" s="2">
        <v>0.73499999999999999</v>
      </c>
      <c r="O289">
        <v>0.11253724992275201</v>
      </c>
      <c r="P289">
        <v>-0.44062724709510798</v>
      </c>
    </row>
    <row r="290" spans="1:16" x14ac:dyDescent="0.25">
      <c r="A290" t="s">
        <v>29</v>
      </c>
      <c r="B290" s="1" t="s">
        <v>72</v>
      </c>
      <c r="C290">
        <v>2009</v>
      </c>
      <c r="D290">
        <v>281710630187.31909</v>
      </c>
      <c r="E290">
        <v>87201181457.942291</v>
      </c>
      <c r="F290">
        <v>39613757</v>
      </c>
      <c r="G290">
        <f t="shared" si="26"/>
        <v>26.364146246960988</v>
      </c>
      <c r="H290">
        <f t="shared" si="27"/>
        <v>25.191483716599173</v>
      </c>
      <c r="I290">
        <f t="shared" si="28"/>
        <v>17.49468701488555</v>
      </c>
      <c r="J290">
        <f t="shared" si="29"/>
        <v>7.6967967017136232</v>
      </c>
      <c r="K290">
        <v>0.23454999923706099</v>
      </c>
      <c r="L290">
        <v>4832</v>
      </c>
      <c r="M290">
        <f t="shared" si="30"/>
        <v>8.4830157396146504</v>
      </c>
      <c r="N290" s="2">
        <v>0.73799999999999999</v>
      </c>
      <c r="O290">
        <v>0.121483989059925</v>
      </c>
      <c r="P290">
        <v>-0.3320132791996</v>
      </c>
    </row>
    <row r="291" spans="1:16" x14ac:dyDescent="0.25">
      <c r="A291" t="s">
        <v>29</v>
      </c>
      <c r="B291" s="1" t="s">
        <v>72</v>
      </c>
      <c r="C291">
        <v>2011</v>
      </c>
      <c r="D291">
        <v>370818739623.62195</v>
      </c>
      <c r="E291">
        <v>114572890953.75458</v>
      </c>
      <c r="F291">
        <v>40871917</v>
      </c>
      <c r="G291">
        <f t="shared" si="26"/>
        <v>26.638979207720375</v>
      </c>
      <c r="H291">
        <f t="shared" si="27"/>
        <v>25.464477059611667</v>
      </c>
      <c r="I291">
        <f t="shared" si="28"/>
        <v>17.525953759260624</v>
      </c>
      <c r="J291">
        <f t="shared" si="29"/>
        <v>7.9385233003510436</v>
      </c>
      <c r="K291">
        <v>0.361460000276566</v>
      </c>
      <c r="L291">
        <v>2997</v>
      </c>
      <c r="M291">
        <f t="shared" si="30"/>
        <v>8.0053670673166639</v>
      </c>
      <c r="N291" s="2">
        <v>0.749</v>
      </c>
      <c r="O291">
        <v>9.0382799506187397E-2</v>
      </c>
      <c r="P291">
        <v>-0.35324403643608099</v>
      </c>
    </row>
    <row r="292" spans="1:16" x14ac:dyDescent="0.25">
      <c r="A292" t="s">
        <v>29</v>
      </c>
      <c r="B292" s="1" t="s">
        <v>72</v>
      </c>
      <c r="C292">
        <v>2013</v>
      </c>
      <c r="D292">
        <v>420333654592.54706</v>
      </c>
      <c r="E292">
        <v>130657629099.19157</v>
      </c>
      <c r="F292">
        <v>40085032</v>
      </c>
      <c r="G292">
        <f t="shared" si="26"/>
        <v>26.764314648539234</v>
      </c>
      <c r="H292">
        <f t="shared" si="27"/>
        <v>25.595846220619542</v>
      </c>
      <c r="I292">
        <f t="shared" si="28"/>
        <v>17.506513555762474</v>
      </c>
      <c r="J292">
        <f t="shared" si="29"/>
        <v>8.0893326648570678</v>
      </c>
      <c r="K292">
        <v>0.44163998961448703</v>
      </c>
      <c r="L292">
        <v>5832</v>
      </c>
      <c r="M292">
        <f t="shared" si="30"/>
        <v>8.6711152736884944</v>
      </c>
      <c r="N292" s="2">
        <v>0.754</v>
      </c>
      <c r="O292">
        <v>0.13063965737819699</v>
      </c>
      <c r="P292">
        <v>-0.37247639894485501</v>
      </c>
    </row>
    <row r="293" spans="1:16" x14ac:dyDescent="0.25">
      <c r="A293" t="s">
        <v>29</v>
      </c>
      <c r="B293" s="1" t="s">
        <v>72</v>
      </c>
      <c r="C293">
        <v>2014</v>
      </c>
      <c r="D293">
        <v>407339040197.65125</v>
      </c>
      <c r="E293">
        <v>124187184090.50934</v>
      </c>
      <c r="F293">
        <v>40209226</v>
      </c>
      <c r="G293">
        <f t="shared" si="26"/>
        <v>26.732911698216899</v>
      </c>
      <c r="H293">
        <f t="shared" si="27"/>
        <v>25.545055813444517</v>
      </c>
      <c r="I293">
        <f t="shared" si="28"/>
        <v>17.509607029745144</v>
      </c>
      <c r="J293">
        <f t="shared" si="29"/>
        <v>8.0354487836993727</v>
      </c>
      <c r="K293">
        <v>0.47988000512123102</v>
      </c>
      <c r="L293">
        <v>6924</v>
      </c>
      <c r="M293">
        <f t="shared" si="30"/>
        <v>8.8427489162961006</v>
      </c>
      <c r="N293" s="2">
        <v>0.78500000000000003</v>
      </c>
      <c r="O293">
        <v>0.17480647563934301</v>
      </c>
      <c r="P293">
        <v>-0.480519980192184</v>
      </c>
    </row>
    <row r="294" spans="1:16" x14ac:dyDescent="0.25">
      <c r="A294" t="s">
        <v>29</v>
      </c>
      <c r="B294" s="1" t="s">
        <v>72</v>
      </c>
      <c r="C294">
        <v>2015</v>
      </c>
      <c r="D294">
        <v>401296238228.08392</v>
      </c>
      <c r="E294">
        <v>126545340233.91982</v>
      </c>
      <c r="F294">
        <v>40201742</v>
      </c>
      <c r="G294">
        <f t="shared" si="26"/>
        <v>26.717965740210939</v>
      </c>
      <c r="H294">
        <f t="shared" si="27"/>
        <v>25.563866501718088</v>
      </c>
      <c r="I294">
        <f t="shared" si="28"/>
        <v>17.509420885983722</v>
      </c>
      <c r="J294">
        <f t="shared" si="29"/>
        <v>8.054445615734366</v>
      </c>
      <c r="K294">
        <v>0.61608999967575095</v>
      </c>
      <c r="L294">
        <v>7138</v>
      </c>
      <c r="M294">
        <f t="shared" si="30"/>
        <v>8.8731879040501056</v>
      </c>
      <c r="N294" s="2">
        <v>0.78900000000000003</v>
      </c>
      <c r="O294">
        <v>0.19590173661708801</v>
      </c>
      <c r="P294">
        <v>-0.55555045604705799</v>
      </c>
    </row>
    <row r="295" spans="1:16" x14ac:dyDescent="0.25">
      <c r="A295" t="s">
        <v>29</v>
      </c>
      <c r="B295" s="1" t="s">
        <v>72</v>
      </c>
      <c r="C295">
        <v>2016</v>
      </c>
      <c r="D295">
        <v>413366349747.50812</v>
      </c>
      <c r="E295">
        <v>136929101205.63911</v>
      </c>
      <c r="F295">
        <v>39942542</v>
      </c>
      <c r="G295">
        <f t="shared" si="26"/>
        <v>26.747600082108665</v>
      </c>
      <c r="H295">
        <f t="shared" si="27"/>
        <v>25.642729119372415</v>
      </c>
      <c r="I295">
        <f t="shared" si="28"/>
        <v>17.502952529394857</v>
      </c>
      <c r="J295">
        <f t="shared" si="29"/>
        <v>8.1397765899775578</v>
      </c>
      <c r="K295">
        <v>0.77828997373580899</v>
      </c>
      <c r="L295">
        <v>6722</v>
      </c>
      <c r="M295">
        <f t="shared" si="30"/>
        <v>8.8131410082850508</v>
      </c>
      <c r="N295" s="2">
        <v>0.79300000000000004</v>
      </c>
      <c r="O295">
        <v>5.2868694067001301E-2</v>
      </c>
      <c r="P295">
        <v>-0.45149761438369801</v>
      </c>
    </row>
    <row r="296" spans="1:16" x14ac:dyDescent="0.25">
      <c r="A296" t="s">
        <v>29</v>
      </c>
      <c r="B296" s="1" t="s">
        <v>72</v>
      </c>
      <c r="C296">
        <v>2017</v>
      </c>
      <c r="D296">
        <v>456356813536.76367</v>
      </c>
      <c r="E296">
        <v>158678609023.48572</v>
      </c>
      <c r="F296">
        <v>39798925</v>
      </c>
      <c r="G296">
        <f t="shared" si="26"/>
        <v>26.846540826304608</v>
      </c>
      <c r="H296">
        <f t="shared" si="27"/>
        <v>25.790146666632047</v>
      </c>
      <c r="I296">
        <f t="shared" si="28"/>
        <v>17.499350459839636</v>
      </c>
      <c r="J296">
        <f t="shared" si="29"/>
        <v>8.290796206792411</v>
      </c>
      <c r="K296">
        <v>1.00165998935699</v>
      </c>
      <c r="L296">
        <v>6886</v>
      </c>
      <c r="M296">
        <f t="shared" si="30"/>
        <v>8.8372456438984699</v>
      </c>
      <c r="N296" s="2">
        <v>0.79500000000000004</v>
      </c>
      <c r="O296">
        <v>7.6896855607628796E-3</v>
      </c>
      <c r="P296">
        <v>-0.44577488303184498</v>
      </c>
    </row>
    <row r="297" spans="1:16" x14ac:dyDescent="0.25">
      <c r="A297" t="s">
        <v>29</v>
      </c>
      <c r="B297" s="1" t="s">
        <v>72</v>
      </c>
      <c r="C297">
        <v>2018</v>
      </c>
      <c r="D297">
        <v>506754208404.48468</v>
      </c>
      <c r="E297">
        <v>177047353367.32092</v>
      </c>
      <c r="F297">
        <v>40229448</v>
      </c>
      <c r="G297">
        <f t="shared" si="26"/>
        <v>26.951291926939614</v>
      </c>
      <c r="H297">
        <f t="shared" si="27"/>
        <v>25.899683066888336</v>
      </c>
      <c r="I297">
        <f t="shared" si="28"/>
        <v>17.510109822728182</v>
      </c>
      <c r="J297">
        <f t="shared" si="29"/>
        <v>8.3895732441601538</v>
      </c>
      <c r="K297">
        <v>1.1137399673461901</v>
      </c>
      <c r="L297">
        <v>7245</v>
      </c>
      <c r="M297">
        <f t="shared" si="30"/>
        <v>8.8880668547547828</v>
      </c>
      <c r="N297" s="2">
        <v>0.79600000000000004</v>
      </c>
      <c r="O297">
        <v>-4.40966561436653E-2</v>
      </c>
      <c r="P297">
        <v>-0.45801872014999401</v>
      </c>
    </row>
    <row r="298" spans="1:16" x14ac:dyDescent="0.25">
      <c r="A298" t="s">
        <v>29</v>
      </c>
      <c r="B298" s="1" t="s">
        <v>72</v>
      </c>
      <c r="C298">
        <v>2019</v>
      </c>
      <c r="D298">
        <v>543976691793.88586</v>
      </c>
      <c r="E298">
        <v>185261272640.47348</v>
      </c>
      <c r="F298">
        <v>39952396</v>
      </c>
      <c r="G298">
        <f t="shared" si="26"/>
        <v>27.022172236917317</v>
      </c>
      <c r="H298">
        <f t="shared" si="27"/>
        <v>25.945032950231983</v>
      </c>
      <c r="I298">
        <f t="shared" si="28"/>
        <v>17.503199203346842</v>
      </c>
      <c r="J298">
        <f t="shared" si="29"/>
        <v>8.4418337468851412</v>
      </c>
      <c r="K298">
        <v>1.1431699991226201</v>
      </c>
      <c r="L298">
        <v>7307</v>
      </c>
      <c r="M298">
        <f t="shared" si="30"/>
        <v>8.8965880717912178</v>
      </c>
      <c r="N298" s="2">
        <v>0.80100000000000005</v>
      </c>
      <c r="O298">
        <v>-2.1945092827081701E-2</v>
      </c>
      <c r="P298">
        <v>-0.47175952792167702</v>
      </c>
    </row>
    <row r="299" spans="1:16" x14ac:dyDescent="0.25">
      <c r="A299" t="s">
        <v>29</v>
      </c>
      <c r="B299" s="1" t="s">
        <v>72</v>
      </c>
      <c r="C299">
        <v>2020</v>
      </c>
      <c r="D299">
        <v>500461898480.24554</v>
      </c>
      <c r="E299">
        <v>145922241214.70178</v>
      </c>
      <c r="F299">
        <v>40206906</v>
      </c>
      <c r="G299">
        <f t="shared" si="26"/>
        <v>26.938797305891288</v>
      </c>
      <c r="H299">
        <f t="shared" si="27"/>
        <v>25.706339722356109</v>
      </c>
      <c r="I299">
        <f t="shared" si="28"/>
        <v>17.509549329879633</v>
      </c>
      <c r="J299">
        <f t="shared" si="29"/>
        <v>8.1967903924764762</v>
      </c>
      <c r="K299">
        <v>1.3281899690628101</v>
      </c>
      <c r="L299">
        <v>6662</v>
      </c>
      <c r="M299">
        <f t="shared" si="30"/>
        <v>8.8041750187536252</v>
      </c>
      <c r="N299" s="2">
        <v>0.8</v>
      </c>
      <c r="O299">
        <v>6.3660755753517206E-2</v>
      </c>
      <c r="P299">
        <v>-0.48363754153251598</v>
      </c>
    </row>
    <row r="300" spans="1:16" x14ac:dyDescent="0.25">
      <c r="A300" t="s">
        <v>76</v>
      </c>
      <c r="B300" s="1" t="s">
        <v>3</v>
      </c>
      <c r="C300">
        <v>2005</v>
      </c>
      <c r="D300">
        <v>32272186694.804279</v>
      </c>
      <c r="E300">
        <v>6871645780.5528297</v>
      </c>
      <c r="F300">
        <v>3502286</v>
      </c>
      <c r="G300">
        <f t="shared" si="26"/>
        <v>24.197471603181331</v>
      </c>
      <c r="H300">
        <f t="shared" si="27"/>
        <v>22.650669474978677</v>
      </c>
      <c r="I300">
        <f t="shared" si="28"/>
        <v>15.06892645611182</v>
      </c>
      <c r="J300">
        <f t="shared" si="29"/>
        <v>7.5817430188668578</v>
      </c>
      <c r="K300">
        <v>0.7119500041008</v>
      </c>
      <c r="L300">
        <v>282</v>
      </c>
      <c r="M300">
        <f t="shared" si="30"/>
        <v>5.6419070709381138</v>
      </c>
      <c r="N300" s="2">
        <v>0.68600000000000005</v>
      </c>
      <c r="O300">
        <v>-4.3587729334831203E-2</v>
      </c>
      <c r="P300">
        <v>-7.8068301081657396E-2</v>
      </c>
    </row>
    <row r="301" spans="1:16" x14ac:dyDescent="0.25">
      <c r="A301" t="s">
        <v>76</v>
      </c>
      <c r="B301" s="1" t="s">
        <v>3</v>
      </c>
      <c r="C301">
        <v>2006</v>
      </c>
      <c r="D301">
        <v>34376664600.589775</v>
      </c>
      <c r="E301">
        <v>7413534681.9180708</v>
      </c>
      <c r="F301">
        <v>3572996</v>
      </c>
      <c r="G301">
        <f t="shared" ref="G301:G345" si="31">LN(D301)</f>
        <v>24.260643816505137</v>
      </c>
      <c r="H301">
        <f t="shared" ref="H301:H345" si="32">LN(E301)</f>
        <v>22.726573177622523</v>
      </c>
      <c r="I301">
        <f t="shared" ref="I301:I345" si="33">LN(F301)</f>
        <v>15.088915017497504</v>
      </c>
      <c r="J301">
        <f t="shared" ref="J301:J345" si="34">H301-I301</f>
        <v>7.6376581601250191</v>
      </c>
      <c r="K301">
        <v>0.67729002237319902</v>
      </c>
      <c r="L301">
        <v>379</v>
      </c>
      <c r="M301">
        <f t="shared" ref="M301:M345" si="35">LN(L301)</f>
        <v>5.9375362050824263</v>
      </c>
      <c r="N301" s="2">
        <v>0.69299999999999995</v>
      </c>
      <c r="O301">
        <v>0.19137802720069899</v>
      </c>
      <c r="P301">
        <v>-1.2532147578895101E-2</v>
      </c>
    </row>
    <row r="302" spans="1:16" x14ac:dyDescent="0.25">
      <c r="A302" t="s">
        <v>76</v>
      </c>
      <c r="B302" s="1" t="s">
        <v>3</v>
      </c>
      <c r="C302">
        <v>2007</v>
      </c>
      <c r="D302">
        <v>38915353866.756989</v>
      </c>
      <c r="E302">
        <v>8480846102.3383007</v>
      </c>
      <c r="F302">
        <v>3648430</v>
      </c>
      <c r="G302">
        <f t="shared" si="31"/>
        <v>24.384654710641794</v>
      </c>
      <c r="H302">
        <f t="shared" si="32"/>
        <v>22.861076057992047</v>
      </c>
      <c r="I302">
        <f t="shared" si="33"/>
        <v>15.109807496036924</v>
      </c>
      <c r="J302">
        <f t="shared" si="34"/>
        <v>7.7512685619551238</v>
      </c>
      <c r="K302">
        <v>0.66540002822875999</v>
      </c>
      <c r="L302">
        <v>416</v>
      </c>
      <c r="M302">
        <f t="shared" si="35"/>
        <v>6.0306852602612633</v>
      </c>
      <c r="N302" s="2">
        <v>0.7</v>
      </c>
      <c r="O302">
        <v>6.6711373627185794E-2</v>
      </c>
      <c r="P302">
        <v>-0.109465233981609</v>
      </c>
    </row>
    <row r="303" spans="1:16" x14ac:dyDescent="0.25">
      <c r="A303" t="s">
        <v>76</v>
      </c>
      <c r="B303" s="1" t="s">
        <v>3</v>
      </c>
      <c r="C303">
        <v>2008</v>
      </c>
      <c r="D303">
        <v>44859439902.219063</v>
      </c>
      <c r="E303">
        <v>10091288179.44685</v>
      </c>
      <c r="F303">
        <v>3729378</v>
      </c>
      <c r="G303">
        <f t="shared" si="31"/>
        <v>24.526799880499517</v>
      </c>
      <c r="H303">
        <f t="shared" si="32"/>
        <v>23.034938332087311</v>
      </c>
      <c r="I303">
        <f t="shared" si="33"/>
        <v>15.131752021682495</v>
      </c>
      <c r="J303">
        <f t="shared" si="34"/>
        <v>7.9031863104048163</v>
      </c>
      <c r="K303">
        <v>0.63933002948760997</v>
      </c>
      <c r="L303">
        <v>472</v>
      </c>
      <c r="M303">
        <f t="shared" si="35"/>
        <v>6.156978985585555</v>
      </c>
      <c r="N303" s="2">
        <v>0.70499999999999996</v>
      </c>
      <c r="O303">
        <v>8.78936722874641E-2</v>
      </c>
      <c r="P303">
        <v>-0.16558171808719599</v>
      </c>
    </row>
    <row r="304" spans="1:16" x14ac:dyDescent="0.25">
      <c r="A304" t="s">
        <v>76</v>
      </c>
      <c r="B304" s="1" t="s">
        <v>3</v>
      </c>
      <c r="C304">
        <v>2009</v>
      </c>
      <c r="D304">
        <v>43455740497.306107</v>
      </c>
      <c r="E304">
        <v>9278406250.5785866</v>
      </c>
      <c r="F304">
        <v>3810664</v>
      </c>
      <c r="G304">
        <f t="shared" si="31"/>
        <v>24.495008797245383</v>
      </c>
      <c r="H304">
        <f t="shared" si="32"/>
        <v>22.950955628756102</v>
      </c>
      <c r="I304">
        <f t="shared" si="33"/>
        <v>15.153314010133423</v>
      </c>
      <c r="J304">
        <f t="shared" si="34"/>
        <v>7.7976416186226789</v>
      </c>
      <c r="K304">
        <v>0.70643997192382801</v>
      </c>
      <c r="L304">
        <v>452</v>
      </c>
      <c r="M304">
        <f t="shared" si="35"/>
        <v>6.1136821798322316</v>
      </c>
      <c r="N304" s="2">
        <v>0.70899999999999996</v>
      </c>
      <c r="O304">
        <v>-6.2405569478869403E-3</v>
      </c>
      <c r="P304">
        <v>-7.9157009720802293E-2</v>
      </c>
    </row>
    <row r="305" spans="1:16" x14ac:dyDescent="0.25">
      <c r="A305" t="s">
        <v>76</v>
      </c>
      <c r="B305" s="1" t="s">
        <v>3</v>
      </c>
      <c r="C305">
        <v>2010</v>
      </c>
      <c r="D305">
        <v>46206091937.96283</v>
      </c>
      <c r="E305">
        <v>10033411205.812487</v>
      </c>
      <c r="F305">
        <v>3892730</v>
      </c>
      <c r="G305">
        <f t="shared" si="31"/>
        <v>24.556377486470389</v>
      </c>
      <c r="H305">
        <f t="shared" si="32"/>
        <v>23.029186481379671</v>
      </c>
      <c r="I305">
        <f t="shared" si="33"/>
        <v>15.174621268934388</v>
      </c>
      <c r="J305">
        <f t="shared" si="34"/>
        <v>7.8545652124452836</v>
      </c>
      <c r="K305">
        <v>0.65806001424789395</v>
      </c>
      <c r="L305">
        <v>508</v>
      </c>
      <c r="M305">
        <f t="shared" si="35"/>
        <v>6.230481447578482</v>
      </c>
      <c r="N305" s="2">
        <v>0.71299999999999997</v>
      </c>
      <c r="O305">
        <v>-8.7301865220069899E-2</v>
      </c>
      <c r="P305">
        <v>-0.118834763765335</v>
      </c>
    </row>
    <row r="306" spans="1:16" x14ac:dyDescent="0.25">
      <c r="A306" t="s">
        <v>76</v>
      </c>
      <c r="B306" s="1" t="s">
        <v>3</v>
      </c>
      <c r="C306">
        <v>2011</v>
      </c>
      <c r="D306">
        <v>48123325825.073891</v>
      </c>
      <c r="E306">
        <v>8200203511.4786863</v>
      </c>
      <c r="F306">
        <v>3974997</v>
      </c>
      <c r="G306">
        <f t="shared" si="31"/>
        <v>24.59703284089883</v>
      </c>
      <c r="H306">
        <f t="shared" si="32"/>
        <v>22.827424809381657</v>
      </c>
      <c r="I306">
        <f t="shared" si="33"/>
        <v>15.195534551353303</v>
      </c>
      <c r="J306">
        <f t="shared" si="34"/>
        <v>7.6318902580283545</v>
      </c>
      <c r="K306">
        <v>0.674579977989197</v>
      </c>
      <c r="L306">
        <v>543</v>
      </c>
      <c r="M306">
        <f t="shared" si="35"/>
        <v>6.2971093199339352</v>
      </c>
      <c r="N306" s="2">
        <v>0.71499999999999997</v>
      </c>
      <c r="O306">
        <v>-0.26643708348274198</v>
      </c>
      <c r="P306">
        <v>-2.2444920614361801E-2</v>
      </c>
    </row>
    <row r="307" spans="1:16" x14ac:dyDescent="0.25">
      <c r="A307" t="s">
        <v>76</v>
      </c>
      <c r="B307" s="1" t="s">
        <v>3</v>
      </c>
      <c r="C307">
        <v>2012</v>
      </c>
      <c r="D307">
        <v>47311401812.673347</v>
      </c>
      <c r="E307">
        <v>7745785368.0023966</v>
      </c>
      <c r="F307">
        <v>4077364</v>
      </c>
      <c r="G307">
        <f t="shared" si="31"/>
        <v>24.580017156517719</v>
      </c>
      <c r="H307">
        <f t="shared" si="32"/>
        <v>22.770414708902482</v>
      </c>
      <c r="I307">
        <f t="shared" si="33"/>
        <v>15.220961259150364</v>
      </c>
      <c r="J307">
        <f t="shared" si="34"/>
        <v>7.549453449752118</v>
      </c>
      <c r="K307">
        <v>0.64937001466751099</v>
      </c>
      <c r="L307">
        <v>476</v>
      </c>
      <c r="M307">
        <f t="shared" si="35"/>
        <v>6.1654178542314204</v>
      </c>
      <c r="N307" s="2">
        <v>0.71599999999999997</v>
      </c>
      <c r="O307">
        <v>-0.242597430944443</v>
      </c>
      <c r="P307">
        <v>-3.3657956868410097E-2</v>
      </c>
    </row>
    <row r="308" spans="1:16" x14ac:dyDescent="0.25">
      <c r="A308" t="s">
        <v>76</v>
      </c>
      <c r="B308" s="1" t="s">
        <v>3</v>
      </c>
      <c r="C308">
        <v>2013</v>
      </c>
      <c r="D308">
        <v>48685446413.952972</v>
      </c>
      <c r="E308">
        <v>7059147217.4451485</v>
      </c>
      <c r="F308">
        <v>4084374</v>
      </c>
      <c r="G308">
        <f t="shared" si="31"/>
        <v>24.608645980770298</v>
      </c>
      <c r="H308">
        <f t="shared" si="32"/>
        <v>22.677590090425625</v>
      </c>
      <c r="I308">
        <f t="shared" si="33"/>
        <v>15.222679030959192</v>
      </c>
      <c r="J308">
        <f t="shared" si="34"/>
        <v>7.4549110594664327</v>
      </c>
      <c r="K308">
        <v>0.63700002431869496</v>
      </c>
      <c r="L308">
        <v>437</v>
      </c>
      <c r="M308">
        <f t="shared" si="35"/>
        <v>6.0799331950955899</v>
      </c>
      <c r="N308" s="2">
        <v>0.71899999999999997</v>
      </c>
      <c r="O308">
        <v>-0.28544563055038502</v>
      </c>
      <c r="P308">
        <v>-4.1355308145284701E-2</v>
      </c>
    </row>
    <row r="309" spans="1:16" x14ac:dyDescent="0.25">
      <c r="A309" t="s">
        <v>76</v>
      </c>
      <c r="B309" s="1" t="s">
        <v>3</v>
      </c>
      <c r="C309">
        <v>2014</v>
      </c>
      <c r="D309">
        <v>50271812920.612015</v>
      </c>
      <c r="E309">
        <v>6863033266.0844975</v>
      </c>
      <c r="F309">
        <v>4103893</v>
      </c>
      <c r="G309">
        <f t="shared" si="31"/>
        <v>24.640710377669048</v>
      </c>
      <c r="H309">
        <f t="shared" si="32"/>
        <v>22.649415348024863</v>
      </c>
      <c r="I309">
        <f t="shared" si="33"/>
        <v>15.227446593368102</v>
      </c>
      <c r="J309">
        <f t="shared" si="34"/>
        <v>7.4219687546567616</v>
      </c>
      <c r="K309">
        <v>0.61988002061843905</v>
      </c>
      <c r="L309">
        <v>400</v>
      </c>
      <c r="M309">
        <f t="shared" si="35"/>
        <v>5.9914645471079817</v>
      </c>
      <c r="N309" s="2">
        <v>0.72099999999999997</v>
      </c>
      <c r="O309">
        <v>-0.33950647711753801</v>
      </c>
      <c r="P309">
        <v>-1.8725784495472901E-2</v>
      </c>
    </row>
    <row r="310" spans="1:16" x14ac:dyDescent="0.25">
      <c r="A310" t="s">
        <v>76</v>
      </c>
      <c r="B310" s="1" t="s">
        <v>3</v>
      </c>
      <c r="C310">
        <v>2015</v>
      </c>
      <c r="D310">
        <v>45779494041.929527</v>
      </c>
      <c r="E310">
        <v>5168571974.7658195</v>
      </c>
      <c r="F310">
        <v>4121291</v>
      </c>
      <c r="G310">
        <f t="shared" si="31"/>
        <v>24.547102099464137</v>
      </c>
      <c r="H310">
        <f t="shared" si="32"/>
        <v>22.365862273534326</v>
      </c>
      <c r="I310">
        <f t="shared" si="33"/>
        <v>15.231677021756566</v>
      </c>
      <c r="J310">
        <f t="shared" si="34"/>
        <v>7.13418525177776</v>
      </c>
      <c r="K310">
        <v>0.594129979610443</v>
      </c>
      <c r="L310">
        <v>409</v>
      </c>
      <c r="M310">
        <f t="shared" si="35"/>
        <v>6.0137151560428022</v>
      </c>
      <c r="N310" s="2">
        <v>0.72399999999999998</v>
      </c>
      <c r="O310">
        <v>-0.38838946819305398</v>
      </c>
      <c r="P310">
        <v>-7.69509747624397E-2</v>
      </c>
    </row>
    <row r="311" spans="1:16" x14ac:dyDescent="0.25">
      <c r="A311" t="s">
        <v>76</v>
      </c>
      <c r="B311" s="1" t="s">
        <v>3</v>
      </c>
      <c r="C311">
        <v>2016</v>
      </c>
      <c r="D311">
        <v>44360072680.447647</v>
      </c>
      <c r="E311">
        <v>4424000934.8087301</v>
      </c>
      <c r="F311">
        <v>4162572</v>
      </c>
      <c r="G311">
        <f t="shared" si="31"/>
        <v>24.51560563785031</v>
      </c>
      <c r="H311">
        <f t="shared" si="32"/>
        <v>22.210310312470384</v>
      </c>
      <c r="I311">
        <f t="shared" si="33"/>
        <v>15.241643710418536</v>
      </c>
      <c r="J311">
        <f t="shared" si="34"/>
        <v>6.9686666020518473</v>
      </c>
      <c r="K311">
        <v>0.56538999080658003</v>
      </c>
      <c r="L311">
        <v>348</v>
      </c>
      <c r="M311">
        <f t="shared" si="35"/>
        <v>5.8522024797744745</v>
      </c>
      <c r="N311" s="2">
        <v>0.72799999999999998</v>
      </c>
      <c r="O311">
        <v>-0.45396575331687899</v>
      </c>
      <c r="P311">
        <v>-0.16297388076782199</v>
      </c>
    </row>
    <row r="312" spans="1:16" x14ac:dyDescent="0.25">
      <c r="A312" t="s">
        <v>76</v>
      </c>
      <c r="B312" s="1" t="s">
        <v>3</v>
      </c>
      <c r="C312">
        <v>2017</v>
      </c>
      <c r="D312">
        <v>42163530590.946198</v>
      </c>
      <c r="E312">
        <v>3763910846.5854492</v>
      </c>
      <c r="F312">
        <v>4178516</v>
      </c>
      <c r="G312">
        <f t="shared" si="31"/>
        <v>24.464821480342799</v>
      </c>
      <c r="H312">
        <f t="shared" si="32"/>
        <v>22.048724372572199</v>
      </c>
      <c r="I312">
        <f t="shared" si="33"/>
        <v>15.24546671754158</v>
      </c>
      <c r="J312">
        <f t="shared" si="34"/>
        <v>6.8032576550306185</v>
      </c>
      <c r="K312">
        <v>0.69954001903533902</v>
      </c>
      <c r="L312">
        <v>383</v>
      </c>
      <c r="M312">
        <f t="shared" si="35"/>
        <v>5.9480349891806457</v>
      </c>
      <c r="N312" s="2">
        <v>0.73199999999999998</v>
      </c>
      <c r="O312">
        <v>-0.36236634850501998</v>
      </c>
      <c r="P312">
        <v>-0.15931370854377699</v>
      </c>
    </row>
    <row r="313" spans="1:16" x14ac:dyDescent="0.25">
      <c r="A313" t="s">
        <v>76</v>
      </c>
      <c r="B313" s="1" t="s">
        <v>3</v>
      </c>
      <c r="C313">
        <v>2018</v>
      </c>
      <c r="D313">
        <v>42686580020.832176</v>
      </c>
      <c r="E313">
        <v>4295720185.4116583</v>
      </c>
      <c r="F313">
        <v>4204927</v>
      </c>
      <c r="G313">
        <f t="shared" si="31"/>
        <v>24.477150422556626</v>
      </c>
      <c r="H313">
        <f t="shared" si="32"/>
        <v>22.180885058282065</v>
      </c>
      <c r="I313">
        <f t="shared" si="33"/>
        <v>15.251767490953119</v>
      </c>
      <c r="J313">
        <f t="shared" si="34"/>
        <v>6.9291175673289462</v>
      </c>
      <c r="K313">
        <v>0.716449975967407</v>
      </c>
      <c r="L313">
        <v>271</v>
      </c>
      <c r="M313">
        <f t="shared" si="35"/>
        <v>5.602118820879701</v>
      </c>
      <c r="N313" s="2">
        <v>0.73699999999999999</v>
      </c>
      <c r="O313">
        <v>-0.494956314563751</v>
      </c>
      <c r="P313">
        <v>-0.113984152674675</v>
      </c>
    </row>
    <row r="314" spans="1:16" x14ac:dyDescent="0.25">
      <c r="A314" t="s">
        <v>109</v>
      </c>
      <c r="B314" s="1" t="s">
        <v>46</v>
      </c>
      <c r="C314">
        <v>2005</v>
      </c>
      <c r="D314">
        <v>89238865118.52626</v>
      </c>
      <c r="E314">
        <v>20809100344.6231</v>
      </c>
      <c r="F314">
        <v>22529601</v>
      </c>
      <c r="G314">
        <f t="shared" si="31"/>
        <v>25.214582489246176</v>
      </c>
      <c r="H314">
        <f t="shared" si="32"/>
        <v>23.758656244539637</v>
      </c>
      <c r="I314">
        <f t="shared" si="33"/>
        <v>16.930340602531235</v>
      </c>
      <c r="J314">
        <f t="shared" si="34"/>
        <v>6.8283156420084019</v>
      </c>
      <c r="K314">
        <v>0.99518001079559304</v>
      </c>
      <c r="L314">
        <v>2054</v>
      </c>
      <c r="M314">
        <f t="shared" si="35"/>
        <v>7.6275443904885032</v>
      </c>
      <c r="N314" s="2">
        <v>0.74299999999999999</v>
      </c>
      <c r="O314">
        <v>-0.51085007190704301</v>
      </c>
      <c r="P314">
        <v>-0.74064290523529097</v>
      </c>
    </row>
    <row r="315" spans="1:16" x14ac:dyDescent="0.25">
      <c r="A315" t="s">
        <v>109</v>
      </c>
      <c r="B315" s="1" t="s">
        <v>46</v>
      </c>
      <c r="C315">
        <v>2006</v>
      </c>
      <c r="D315">
        <v>111884752475.24753</v>
      </c>
      <c r="E315">
        <v>24389702970.297031</v>
      </c>
      <c r="F315">
        <v>22365498</v>
      </c>
      <c r="G315">
        <f t="shared" si="31"/>
        <v>25.440735182705193</v>
      </c>
      <c r="H315">
        <f t="shared" si="32"/>
        <v>23.91742687076048</v>
      </c>
      <c r="I315">
        <f t="shared" si="33"/>
        <v>16.923030061536124</v>
      </c>
      <c r="J315">
        <f t="shared" si="34"/>
        <v>6.9943968092243551</v>
      </c>
      <c r="K315">
        <v>0.91403001546859697</v>
      </c>
      <c r="L315">
        <v>2416</v>
      </c>
      <c r="M315">
        <f t="shared" si="35"/>
        <v>7.7898685590547059</v>
      </c>
      <c r="N315" s="2">
        <v>0.752</v>
      </c>
      <c r="O315">
        <v>-0.48663100600242598</v>
      </c>
      <c r="P315">
        <v>-0.77278184890747104</v>
      </c>
    </row>
    <row r="316" spans="1:16" x14ac:dyDescent="0.25">
      <c r="A316" t="s">
        <v>109</v>
      </c>
      <c r="B316" s="1" t="s">
        <v>46</v>
      </c>
      <c r="C316">
        <v>2007</v>
      </c>
      <c r="D316">
        <v>148733861386.13861</v>
      </c>
      <c r="E316">
        <v>33189108910.89109</v>
      </c>
      <c r="F316">
        <v>22455476</v>
      </c>
      <c r="G316">
        <f t="shared" si="31"/>
        <v>25.725424380603052</v>
      </c>
      <c r="H316">
        <f t="shared" si="32"/>
        <v>24.225487614197693</v>
      </c>
      <c r="I316">
        <f t="shared" si="33"/>
        <v>16.927045062230761</v>
      </c>
      <c r="J316">
        <f t="shared" si="34"/>
        <v>7.2984425519669323</v>
      </c>
      <c r="K316">
        <v>0.81869000196456898</v>
      </c>
      <c r="L316">
        <v>2723</v>
      </c>
      <c r="M316">
        <f t="shared" si="35"/>
        <v>7.9094894926737593</v>
      </c>
      <c r="N316" s="2">
        <v>0.75900000000000001</v>
      </c>
      <c r="O316">
        <v>-0.40971726179122903</v>
      </c>
      <c r="P316">
        <v>-0.82017493247985795</v>
      </c>
    </row>
    <row r="317" spans="1:16" x14ac:dyDescent="0.25">
      <c r="A317" t="s">
        <v>109</v>
      </c>
      <c r="B317" s="1" t="s">
        <v>46</v>
      </c>
      <c r="C317">
        <v>2008</v>
      </c>
      <c r="D317">
        <v>188110390659.51477</v>
      </c>
      <c r="E317">
        <v>37133813067.649902</v>
      </c>
      <c r="F317">
        <v>22353775</v>
      </c>
      <c r="G317">
        <f t="shared" si="31"/>
        <v>25.960294811810201</v>
      </c>
      <c r="H317">
        <f t="shared" si="32"/>
        <v>24.337793794924565</v>
      </c>
      <c r="I317">
        <f t="shared" si="33"/>
        <v>16.922505768564342</v>
      </c>
      <c r="J317">
        <f t="shared" si="34"/>
        <v>7.4152880263602228</v>
      </c>
      <c r="K317">
        <v>0.80990999937057495</v>
      </c>
      <c r="L317">
        <v>2872</v>
      </c>
      <c r="M317">
        <f t="shared" si="35"/>
        <v>7.9627639301681148</v>
      </c>
      <c r="N317" s="2">
        <v>0.76300000000000001</v>
      </c>
      <c r="O317">
        <v>-0.516110599040985</v>
      </c>
      <c r="P317">
        <v>-0.86251413822174094</v>
      </c>
    </row>
    <row r="318" spans="1:16" x14ac:dyDescent="0.25">
      <c r="A318" t="s">
        <v>109</v>
      </c>
      <c r="B318" s="1" t="s">
        <v>46</v>
      </c>
      <c r="C318">
        <v>2009</v>
      </c>
      <c r="D318">
        <v>121552153444.12442</v>
      </c>
      <c r="E318">
        <v>18779680769.684929</v>
      </c>
      <c r="F318">
        <v>22246256</v>
      </c>
      <c r="G318">
        <f t="shared" si="31"/>
        <v>25.52360925408081</v>
      </c>
      <c r="H318">
        <f t="shared" si="32"/>
        <v>23.656041312162721</v>
      </c>
      <c r="I318">
        <f t="shared" si="33"/>
        <v>16.917684282754674</v>
      </c>
      <c r="J318">
        <f t="shared" si="34"/>
        <v>6.7383570294080464</v>
      </c>
      <c r="K318">
        <v>0.82595998048782304</v>
      </c>
      <c r="L318">
        <v>2380</v>
      </c>
      <c r="M318">
        <f t="shared" si="35"/>
        <v>7.77485576666552</v>
      </c>
      <c r="N318" s="2">
        <v>0.76100000000000001</v>
      </c>
      <c r="O318">
        <v>-0.55911248922348</v>
      </c>
      <c r="P318">
        <v>-1.0717368125915501</v>
      </c>
    </row>
    <row r="319" spans="1:16" x14ac:dyDescent="0.25">
      <c r="A319" t="s">
        <v>109</v>
      </c>
      <c r="B319" s="1" t="s">
        <v>46</v>
      </c>
      <c r="C319">
        <v>2010</v>
      </c>
      <c r="D319">
        <v>141209170427.2334</v>
      </c>
      <c r="E319">
        <v>21966094979.874966</v>
      </c>
      <c r="F319">
        <v>22140771</v>
      </c>
      <c r="G319">
        <f t="shared" si="31"/>
        <v>25.673508106265139</v>
      </c>
      <c r="H319">
        <f t="shared" si="32"/>
        <v>23.81276596425273</v>
      </c>
      <c r="I319">
        <f t="shared" si="33"/>
        <v>16.912931308486666</v>
      </c>
      <c r="J319">
        <f t="shared" si="34"/>
        <v>6.8998346557660639</v>
      </c>
      <c r="K319">
        <v>0.802789986133575</v>
      </c>
      <c r="L319">
        <v>2756</v>
      </c>
      <c r="M319">
        <f t="shared" si="35"/>
        <v>7.9215356321335495</v>
      </c>
      <c r="N319" s="2">
        <v>0.76600000000000001</v>
      </c>
      <c r="O319">
        <v>-0.45444026589393599</v>
      </c>
      <c r="P319">
        <v>-1.0319625139236499</v>
      </c>
    </row>
    <row r="320" spans="1:16" x14ac:dyDescent="0.25">
      <c r="A320" t="s">
        <v>109</v>
      </c>
      <c r="B320" s="1" t="s">
        <v>46</v>
      </c>
      <c r="C320">
        <v>2011</v>
      </c>
      <c r="D320">
        <v>169333835201.55411</v>
      </c>
      <c r="E320">
        <v>24470845100.314865</v>
      </c>
      <c r="F320">
        <v>22037073</v>
      </c>
      <c r="G320">
        <f t="shared" si="31"/>
        <v>25.855137959641098</v>
      </c>
      <c r="H320">
        <f t="shared" si="32"/>
        <v>23.920748249984232</v>
      </c>
      <c r="I320">
        <f t="shared" si="33"/>
        <v>16.908236729437018</v>
      </c>
      <c r="J320">
        <f t="shared" si="34"/>
        <v>7.0125115205472142</v>
      </c>
      <c r="K320">
        <v>0.71090000867843595</v>
      </c>
      <c r="L320">
        <v>2604</v>
      </c>
      <c r="M320">
        <f t="shared" si="35"/>
        <v>7.8648040033284596</v>
      </c>
      <c r="N320" s="2">
        <v>0.77200000000000002</v>
      </c>
      <c r="O320">
        <v>-0.56370526552200295</v>
      </c>
      <c r="P320">
        <v>-1.0867133140564</v>
      </c>
    </row>
    <row r="321" spans="1:16" x14ac:dyDescent="0.25">
      <c r="A321" t="s">
        <v>109</v>
      </c>
      <c r="B321" s="1" t="s">
        <v>46</v>
      </c>
      <c r="C321">
        <v>2012</v>
      </c>
      <c r="D321">
        <v>182591753827.94882</v>
      </c>
      <c r="E321">
        <v>21468324041.872456</v>
      </c>
      <c r="F321">
        <v>21940939</v>
      </c>
      <c r="G321">
        <f t="shared" si="31"/>
        <v>25.930518644328231</v>
      </c>
      <c r="H321">
        <f t="shared" si="32"/>
        <v>23.789844385327832</v>
      </c>
      <c r="I321">
        <f t="shared" si="33"/>
        <v>16.903864810437003</v>
      </c>
      <c r="J321">
        <f t="shared" si="34"/>
        <v>6.885979574890829</v>
      </c>
      <c r="K321">
        <v>0.723630011081696</v>
      </c>
      <c r="L321">
        <v>2464</v>
      </c>
      <c r="M321">
        <f t="shared" si="35"/>
        <v>7.8095413246534102</v>
      </c>
      <c r="N321" s="2">
        <v>0.77400000000000002</v>
      </c>
      <c r="O321">
        <v>-0.55468320846557595</v>
      </c>
      <c r="P321">
        <v>-1.1175391674041699</v>
      </c>
    </row>
    <row r="322" spans="1:16" x14ac:dyDescent="0.25">
      <c r="A322" t="s">
        <v>109</v>
      </c>
      <c r="B322" s="1" t="s">
        <v>46</v>
      </c>
      <c r="C322">
        <v>2013</v>
      </c>
      <c r="D322">
        <v>190498811460.02753</v>
      </c>
      <c r="E322">
        <v>15656824721.631428</v>
      </c>
      <c r="F322">
        <v>21834999</v>
      </c>
      <c r="G322">
        <f t="shared" si="31"/>
        <v>25.97291179243873</v>
      </c>
      <c r="H322">
        <f t="shared" si="32"/>
        <v>23.474172743324676</v>
      </c>
      <c r="I322">
        <f t="shared" si="33"/>
        <v>16.899024699103766</v>
      </c>
      <c r="J322">
        <f t="shared" si="34"/>
        <v>6.57514804422091</v>
      </c>
      <c r="K322">
        <v>0.73299998044967696</v>
      </c>
      <c r="L322">
        <v>2556</v>
      </c>
      <c r="M322">
        <f t="shared" si="35"/>
        <v>7.8461988154974254</v>
      </c>
      <c r="N322" s="2">
        <v>0.77400000000000002</v>
      </c>
      <c r="O322">
        <v>-0.58561241626739502</v>
      </c>
      <c r="P322">
        <v>-1.1762617826461801</v>
      </c>
    </row>
    <row r="323" spans="1:16" x14ac:dyDescent="0.25">
      <c r="A323" t="s">
        <v>109</v>
      </c>
      <c r="B323" s="1" t="s">
        <v>46</v>
      </c>
      <c r="C323">
        <v>2014</v>
      </c>
      <c r="D323">
        <v>133503871861.7233</v>
      </c>
      <c r="E323">
        <v>13204383166.035133</v>
      </c>
      <c r="F323">
        <v>21670714</v>
      </c>
      <c r="G323">
        <f t="shared" si="31"/>
        <v>25.617396317075684</v>
      </c>
      <c r="H323">
        <f t="shared" si="32"/>
        <v>23.303814669452635</v>
      </c>
      <c r="I323">
        <f t="shared" si="33"/>
        <v>16.891472321746853</v>
      </c>
      <c r="J323">
        <f t="shared" si="34"/>
        <v>6.4123423477057813</v>
      </c>
      <c r="K323">
        <v>0.65034002065658603</v>
      </c>
      <c r="L323">
        <v>2356</v>
      </c>
      <c r="M323">
        <f t="shared" si="35"/>
        <v>7.7647205447714773</v>
      </c>
      <c r="N323" s="2">
        <v>0.77400000000000002</v>
      </c>
      <c r="O323">
        <v>-0.58677625656127896</v>
      </c>
      <c r="P323">
        <v>-1.02434241771698</v>
      </c>
    </row>
    <row r="324" spans="1:16" x14ac:dyDescent="0.25">
      <c r="A324" t="s">
        <v>109</v>
      </c>
      <c r="B324" s="1" t="s">
        <v>46</v>
      </c>
      <c r="C324">
        <v>2015</v>
      </c>
      <c r="D324">
        <v>91030967789.071747</v>
      </c>
      <c r="E324">
        <v>12127199011.86091</v>
      </c>
      <c r="F324">
        <v>21569556</v>
      </c>
      <c r="G324">
        <f t="shared" si="31"/>
        <v>25.234465590946936</v>
      </c>
      <c r="H324">
        <f t="shared" si="32"/>
        <v>23.218716619128855</v>
      </c>
      <c r="I324">
        <f t="shared" si="33"/>
        <v>16.886793434008837</v>
      </c>
      <c r="J324">
        <f t="shared" si="34"/>
        <v>6.3319231851200186</v>
      </c>
      <c r="K324">
        <v>0.61476999521255504</v>
      </c>
      <c r="L324">
        <v>2226</v>
      </c>
      <c r="M324">
        <f t="shared" si="35"/>
        <v>7.7079615318354904</v>
      </c>
      <c r="N324" s="2">
        <v>0.76400000000000001</v>
      </c>
      <c r="O324">
        <v>-0.61887335777282704</v>
      </c>
      <c r="P324">
        <v>-1.0389480590820299</v>
      </c>
    </row>
    <row r="325" spans="1:16" x14ac:dyDescent="0.25">
      <c r="A325" t="s">
        <v>109</v>
      </c>
      <c r="B325" s="1" t="s">
        <v>46</v>
      </c>
      <c r="C325">
        <v>2016</v>
      </c>
      <c r="D325">
        <v>93355869403.922318</v>
      </c>
      <c r="E325">
        <v>13816851989.019438</v>
      </c>
      <c r="F325">
        <v>21469121</v>
      </c>
      <c r="G325">
        <f t="shared" si="31"/>
        <v>25.259684580200453</v>
      </c>
      <c r="H325">
        <f t="shared" si="32"/>
        <v>23.349154842726428</v>
      </c>
      <c r="I325">
        <f t="shared" si="33"/>
        <v>16.88212622816917</v>
      </c>
      <c r="J325">
        <f t="shared" si="34"/>
        <v>6.4670286145572575</v>
      </c>
      <c r="K325">
        <v>0.483390003442764</v>
      </c>
      <c r="L325">
        <v>1862</v>
      </c>
      <c r="M325">
        <f t="shared" si="35"/>
        <v>7.5294064578370126</v>
      </c>
      <c r="N325" s="2">
        <v>0.76700000000000002</v>
      </c>
      <c r="O325">
        <v>-0.41062274575233498</v>
      </c>
      <c r="P325">
        <v>-0.86679273843765303</v>
      </c>
    </row>
    <row r="326" spans="1:16" x14ac:dyDescent="0.25">
      <c r="A326" t="s">
        <v>109</v>
      </c>
      <c r="B326" s="1" t="s">
        <v>46</v>
      </c>
      <c r="C326">
        <v>2017</v>
      </c>
      <c r="D326">
        <v>112090505081.73862</v>
      </c>
      <c r="E326">
        <v>13652155466.753916</v>
      </c>
      <c r="F326">
        <v>21368630</v>
      </c>
      <c r="G326">
        <f t="shared" si="31"/>
        <v>25.442572463006719</v>
      </c>
      <c r="H326">
        <f t="shared" si="32"/>
        <v>23.337163255763265</v>
      </c>
      <c r="I326">
        <f t="shared" si="33"/>
        <v>16.877434516676882</v>
      </c>
      <c r="J326">
        <f t="shared" si="34"/>
        <v>6.4597287390863833</v>
      </c>
      <c r="K326">
        <v>0.448790013790131</v>
      </c>
      <c r="L326">
        <v>1764</v>
      </c>
      <c r="M326">
        <f t="shared" si="35"/>
        <v>7.4753392365667368</v>
      </c>
      <c r="N326" s="2">
        <v>0.77100000000000002</v>
      </c>
      <c r="O326">
        <v>-0.28162020444870001</v>
      </c>
      <c r="P326">
        <v>-0.83137565851211503</v>
      </c>
    </row>
    <row r="327" spans="1:16" x14ac:dyDescent="0.25">
      <c r="A327" t="s">
        <v>109</v>
      </c>
      <c r="B327" s="1" t="s">
        <v>46</v>
      </c>
      <c r="C327">
        <v>2018</v>
      </c>
      <c r="D327">
        <v>130891088293.54999</v>
      </c>
      <c r="E327">
        <v>12904545991.300451</v>
      </c>
      <c r="F327">
        <v>21276539</v>
      </c>
      <c r="G327">
        <f t="shared" si="31"/>
        <v>25.59763142728152</v>
      </c>
      <c r="H327">
        <f t="shared" si="32"/>
        <v>23.280845488661278</v>
      </c>
      <c r="I327">
        <f t="shared" si="33"/>
        <v>16.873115568232794</v>
      </c>
      <c r="J327">
        <f t="shared" si="34"/>
        <v>6.4077299204284834</v>
      </c>
      <c r="K327">
        <v>0.47113001346588101</v>
      </c>
      <c r="L327">
        <v>1861</v>
      </c>
      <c r="M327">
        <f t="shared" si="35"/>
        <v>7.5288692566422508</v>
      </c>
      <c r="N327" s="2">
        <v>0.77100000000000002</v>
      </c>
      <c r="O327">
        <v>-0.25626698136329701</v>
      </c>
      <c r="P327">
        <v>-0.92120188474655196</v>
      </c>
    </row>
    <row r="328" spans="1:16" x14ac:dyDescent="0.25">
      <c r="A328" t="s">
        <v>109</v>
      </c>
      <c r="B328" s="1" t="s">
        <v>46</v>
      </c>
      <c r="C328">
        <v>2019</v>
      </c>
      <c r="D328">
        <v>153883047509.57697</v>
      </c>
      <c r="E328">
        <v>10529456302.969145</v>
      </c>
      <c r="F328">
        <v>21190326</v>
      </c>
      <c r="G328">
        <f t="shared" si="31"/>
        <v>25.759458719089672</v>
      </c>
      <c r="H328">
        <f t="shared" si="32"/>
        <v>23.077442528612927</v>
      </c>
      <c r="I328">
        <f t="shared" si="33"/>
        <v>16.869055314741523</v>
      </c>
      <c r="J328">
        <f t="shared" si="34"/>
        <v>6.2083872138714042</v>
      </c>
      <c r="K328">
        <v>0.43384000658989003</v>
      </c>
      <c r="L328">
        <v>1755</v>
      </c>
      <c r="M328">
        <f t="shared" si="35"/>
        <v>7.4702241358999659</v>
      </c>
      <c r="N328" s="2">
        <v>0.77400000000000002</v>
      </c>
      <c r="O328">
        <v>-0.21664243936538699</v>
      </c>
      <c r="P328">
        <v>-0.80024260282516502</v>
      </c>
    </row>
    <row r="329" spans="1:16" x14ac:dyDescent="0.25">
      <c r="A329" t="s">
        <v>109</v>
      </c>
      <c r="B329" s="1" t="s">
        <v>46</v>
      </c>
      <c r="C329">
        <v>2020</v>
      </c>
      <c r="D329">
        <v>156617722013.34219</v>
      </c>
      <c r="E329">
        <v>11619687327.367306</v>
      </c>
      <c r="F329">
        <v>20621250</v>
      </c>
      <c r="G329">
        <f t="shared" si="31"/>
        <v>25.777073781490603</v>
      </c>
      <c r="H329">
        <f t="shared" si="32"/>
        <v>23.175966679864196</v>
      </c>
      <c r="I329">
        <f t="shared" si="33"/>
        <v>16.84183265547227</v>
      </c>
      <c r="J329">
        <f t="shared" si="34"/>
        <v>6.3341340243919255</v>
      </c>
      <c r="K329">
        <v>0.40318000316619901</v>
      </c>
      <c r="L329">
        <v>1822</v>
      </c>
      <c r="M329">
        <f t="shared" si="35"/>
        <v>7.5076900778199036</v>
      </c>
      <c r="N329" s="2">
        <v>0.76200000000000001</v>
      </c>
      <c r="O329">
        <v>-0.26694333553314198</v>
      </c>
      <c r="P329">
        <v>-0.83185607194900502</v>
      </c>
    </row>
    <row r="330" spans="1:16" x14ac:dyDescent="0.25">
      <c r="A330" t="s">
        <v>36</v>
      </c>
      <c r="B330" s="1" t="s">
        <v>4</v>
      </c>
      <c r="C330">
        <v>2005</v>
      </c>
      <c r="D330">
        <v>14307509838.805326</v>
      </c>
      <c r="E330">
        <v>4877830790.5188055</v>
      </c>
      <c r="F330">
        <v>10548387</v>
      </c>
      <c r="G330">
        <f t="shared" si="31"/>
        <v>23.384050399914976</v>
      </c>
      <c r="H330">
        <f t="shared" si="32"/>
        <v>22.30796644784796</v>
      </c>
      <c r="I330">
        <f t="shared" si="33"/>
        <v>16.17148351520207</v>
      </c>
      <c r="J330">
        <f t="shared" si="34"/>
        <v>6.1364829326458903</v>
      </c>
      <c r="K330">
        <v>0.237409994006157</v>
      </c>
      <c r="L330">
        <v>180</v>
      </c>
      <c r="M330">
        <f t="shared" si="35"/>
        <v>5.1929568508902104</v>
      </c>
      <c r="N330" s="2">
        <v>0.63600000000000001</v>
      </c>
      <c r="O330">
        <v>-1.5138239860534699</v>
      </c>
      <c r="P330">
        <v>-1.22963762283325</v>
      </c>
    </row>
    <row r="331" spans="1:16" x14ac:dyDescent="0.25">
      <c r="A331" t="s">
        <v>36</v>
      </c>
      <c r="B331" s="1" t="s">
        <v>4</v>
      </c>
      <c r="C331">
        <v>2006</v>
      </c>
      <c r="D331">
        <v>17330833852.918976</v>
      </c>
      <c r="E331">
        <v>6094589472.6479177</v>
      </c>
      <c r="F331">
        <v>10734030</v>
      </c>
      <c r="G331">
        <f t="shared" si="31"/>
        <v>23.57575305566866</v>
      </c>
      <c r="H331">
        <f t="shared" si="32"/>
        <v>22.530667242836465</v>
      </c>
      <c r="I331">
        <f t="shared" si="33"/>
        <v>16.188929626572467</v>
      </c>
      <c r="J331">
        <f t="shared" si="34"/>
        <v>6.3417376162639982</v>
      </c>
      <c r="K331">
        <v>0.22394999861717199</v>
      </c>
      <c r="L331">
        <v>186</v>
      </c>
      <c r="M331">
        <f t="shared" si="35"/>
        <v>5.2257466737132017</v>
      </c>
      <c r="N331" s="2">
        <v>0.64200000000000002</v>
      </c>
      <c r="O331">
        <v>-1.62845742702484</v>
      </c>
      <c r="P331">
        <v>-1.01633596420288</v>
      </c>
    </row>
    <row r="332" spans="1:16" x14ac:dyDescent="0.25">
      <c r="A332" t="s">
        <v>36</v>
      </c>
      <c r="B332" s="1" t="s">
        <v>4</v>
      </c>
      <c r="C332">
        <v>2007</v>
      </c>
      <c r="D332">
        <v>22311393927.881721</v>
      </c>
      <c r="E332">
        <v>7392526197.4863071</v>
      </c>
      <c r="F332">
        <v>10910271</v>
      </c>
      <c r="G332">
        <f t="shared" si="31"/>
        <v>23.828363323397902</v>
      </c>
      <c r="H332">
        <f t="shared" si="32"/>
        <v>22.72373535347716</v>
      </c>
      <c r="I332">
        <f t="shared" si="33"/>
        <v>16.205215197097456</v>
      </c>
      <c r="J332">
        <f t="shared" si="34"/>
        <v>6.5185201563797044</v>
      </c>
      <c r="K332">
        <v>0.21720999479293801</v>
      </c>
      <c r="L332">
        <v>198</v>
      </c>
      <c r="M332">
        <f t="shared" si="35"/>
        <v>5.2882670306945352</v>
      </c>
      <c r="N332" s="2">
        <v>0.65500000000000003</v>
      </c>
      <c r="O332">
        <v>-1.50605273246765</v>
      </c>
      <c r="P332">
        <v>-1.03378558158875</v>
      </c>
    </row>
    <row r="333" spans="1:16" x14ac:dyDescent="0.25">
      <c r="A333" t="s">
        <v>36</v>
      </c>
      <c r="B333" s="1" t="s">
        <v>4</v>
      </c>
      <c r="C333">
        <v>2008</v>
      </c>
      <c r="D333">
        <v>29549438883.83379</v>
      </c>
      <c r="E333">
        <v>10231611313.315136</v>
      </c>
      <c r="F333">
        <v>11103030</v>
      </c>
      <c r="G333">
        <f t="shared" si="31"/>
        <v>24.109330591915484</v>
      </c>
      <c r="H333">
        <f t="shared" si="32"/>
        <v>23.048747913139721</v>
      </c>
      <c r="I333">
        <f t="shared" si="33"/>
        <v>16.222728602005191</v>
      </c>
      <c r="J333">
        <f t="shared" si="34"/>
        <v>6.8260193111345302</v>
      </c>
      <c r="K333">
        <v>0.19354000687599199</v>
      </c>
      <c r="L333">
        <v>186</v>
      </c>
      <c r="M333">
        <f t="shared" si="35"/>
        <v>5.2257466737132017</v>
      </c>
      <c r="N333" s="2">
        <v>0.66</v>
      </c>
      <c r="O333">
        <v>-1.3638404607772801</v>
      </c>
      <c r="P333">
        <v>-1.0628572702407799</v>
      </c>
    </row>
    <row r="334" spans="1:16" x14ac:dyDescent="0.25">
      <c r="A334" t="s">
        <v>36</v>
      </c>
      <c r="B334" s="1" t="s">
        <v>4</v>
      </c>
      <c r="C334">
        <v>2009</v>
      </c>
      <c r="D334">
        <v>33689223673.257736</v>
      </c>
      <c r="E334">
        <v>10308871330.904327</v>
      </c>
      <c r="F334">
        <v>11313657</v>
      </c>
      <c r="G334">
        <f t="shared" si="31"/>
        <v>24.240443850859769</v>
      </c>
      <c r="H334">
        <f t="shared" si="32"/>
        <v>23.056270655743493</v>
      </c>
      <c r="I334">
        <f t="shared" si="33"/>
        <v>16.241521138003556</v>
      </c>
      <c r="J334">
        <f t="shared" si="34"/>
        <v>6.8147495177399371</v>
      </c>
      <c r="K334">
        <v>0.203150004148483</v>
      </c>
      <c r="L334">
        <v>174</v>
      </c>
      <c r="M334">
        <f t="shared" si="35"/>
        <v>5.1590552992145291</v>
      </c>
      <c r="N334" s="2">
        <v>0.66600000000000004</v>
      </c>
      <c r="O334">
        <v>-1.4691733121871899</v>
      </c>
      <c r="P334">
        <v>-1.27607345581055</v>
      </c>
    </row>
    <row r="335" spans="1:16" x14ac:dyDescent="0.25">
      <c r="A335" t="s">
        <v>36</v>
      </c>
      <c r="B335" s="1" t="s">
        <v>4</v>
      </c>
      <c r="C335">
        <v>2010</v>
      </c>
      <c r="D335">
        <v>49765676402.449455</v>
      </c>
      <c r="E335">
        <v>12926189616.735552</v>
      </c>
      <c r="F335">
        <v>11680604</v>
      </c>
      <c r="G335">
        <f t="shared" si="31"/>
        <v>24.630591354483133</v>
      </c>
      <c r="H335">
        <f t="shared" si="32"/>
        <v>23.282521293085026</v>
      </c>
      <c r="I335">
        <f t="shared" si="33"/>
        <v>16.273440246356085</v>
      </c>
      <c r="J335">
        <f t="shared" si="34"/>
        <v>7.0090810467289408</v>
      </c>
      <c r="K335">
        <v>0.15430000424385101</v>
      </c>
      <c r="L335">
        <v>262</v>
      </c>
      <c r="M335">
        <f t="shared" si="35"/>
        <v>5.5683445037610966</v>
      </c>
      <c r="N335" s="2">
        <v>0.67500000000000004</v>
      </c>
      <c r="O335">
        <v>-1.5364773273468</v>
      </c>
      <c r="P335">
        <v>-1.3079854249954199</v>
      </c>
    </row>
    <row r="336" spans="1:16" x14ac:dyDescent="0.25">
      <c r="A336" t="s">
        <v>36</v>
      </c>
      <c r="B336" s="1" t="s">
        <v>4</v>
      </c>
      <c r="C336">
        <v>2011</v>
      </c>
      <c r="D336">
        <v>60178909297.208008</v>
      </c>
      <c r="E336">
        <v>16125093772.813187</v>
      </c>
      <c r="F336">
        <v>12035107</v>
      </c>
      <c r="G336">
        <f t="shared" si="31"/>
        <v>24.820587783976226</v>
      </c>
      <c r="H336">
        <f t="shared" si="32"/>
        <v>23.5036425149796</v>
      </c>
      <c r="I336">
        <f t="shared" si="33"/>
        <v>16.303338519895142</v>
      </c>
      <c r="J336">
        <f t="shared" si="34"/>
        <v>7.2003039950844574</v>
      </c>
      <c r="K336">
        <v>0.14877000451087999</v>
      </c>
      <c r="L336">
        <v>274</v>
      </c>
      <c r="M336">
        <f t="shared" si="35"/>
        <v>5.6131281063880705</v>
      </c>
      <c r="N336" s="2">
        <v>0.68200000000000005</v>
      </c>
      <c r="O336">
        <v>-1.5577813386917101</v>
      </c>
      <c r="P336">
        <v>-1.3875648975372299</v>
      </c>
    </row>
    <row r="337" spans="1:16" x14ac:dyDescent="0.25">
      <c r="A337" t="s">
        <v>36</v>
      </c>
      <c r="B337" s="1" t="s">
        <v>4</v>
      </c>
      <c r="C337">
        <v>2012</v>
      </c>
      <c r="D337">
        <v>67517349212.060921</v>
      </c>
      <c r="E337">
        <v>17029823213.246267</v>
      </c>
      <c r="F337">
        <v>12225969</v>
      </c>
      <c r="G337">
        <f t="shared" si="31"/>
        <v>24.935650427163402</v>
      </c>
      <c r="H337">
        <f t="shared" si="32"/>
        <v>23.558231950665558</v>
      </c>
      <c r="I337">
        <f t="shared" si="33"/>
        <v>16.319072853987681</v>
      </c>
      <c r="J337">
        <f t="shared" si="34"/>
        <v>7.2391590966778772</v>
      </c>
      <c r="K337">
        <v>0.15512000024318701</v>
      </c>
      <c r="L337">
        <v>253</v>
      </c>
      <c r="M337">
        <f t="shared" si="35"/>
        <v>5.5333894887275203</v>
      </c>
      <c r="N337" s="2">
        <v>0.68799999999999994</v>
      </c>
      <c r="O337">
        <v>-1.5799834728241</v>
      </c>
      <c r="P337">
        <v>-1.31068003177643</v>
      </c>
    </row>
    <row r="338" spans="1:16" x14ac:dyDescent="0.25">
      <c r="A338" t="s">
        <v>36</v>
      </c>
      <c r="B338" s="1" t="s">
        <v>4</v>
      </c>
      <c r="C338">
        <v>2013</v>
      </c>
      <c r="D338">
        <v>73180037914.910431</v>
      </c>
      <c r="E338">
        <v>16514845288.181576</v>
      </c>
      <c r="F338">
        <v>12404289</v>
      </c>
      <c r="G338">
        <f t="shared" si="31"/>
        <v>25.016188514642153</v>
      </c>
      <c r="H338">
        <f t="shared" si="32"/>
        <v>23.527525527787766</v>
      </c>
      <c r="I338">
        <f t="shared" si="33"/>
        <v>16.333552857866888</v>
      </c>
      <c r="J338">
        <f t="shared" si="34"/>
        <v>7.1939726699208784</v>
      </c>
      <c r="K338">
        <v>0.15500000119209301</v>
      </c>
      <c r="L338">
        <v>258</v>
      </c>
      <c r="M338">
        <f t="shared" si="35"/>
        <v>5.5529595849216173</v>
      </c>
      <c r="N338" s="2">
        <v>0.69299999999999995</v>
      </c>
      <c r="O338">
        <v>-1.60398280620575</v>
      </c>
      <c r="P338">
        <v>-1.2730427980423</v>
      </c>
    </row>
    <row r="339" spans="1:16" x14ac:dyDescent="0.25">
      <c r="A339" t="s">
        <v>36</v>
      </c>
      <c r="B339" s="1" t="s">
        <v>4</v>
      </c>
      <c r="C339">
        <v>2014</v>
      </c>
      <c r="D339">
        <v>80845385809.452942</v>
      </c>
      <c r="E339">
        <v>18947602662.340813</v>
      </c>
      <c r="F339">
        <v>12579726</v>
      </c>
      <c r="G339">
        <f t="shared" si="31"/>
        <v>25.115804350338479</v>
      </c>
      <c r="H339">
        <f t="shared" si="32"/>
        <v>23.664943251888364</v>
      </c>
      <c r="I339">
        <f t="shared" si="33"/>
        <v>16.347597028395235</v>
      </c>
      <c r="J339">
        <f t="shared" si="34"/>
        <v>7.3173462234931286</v>
      </c>
      <c r="K339">
        <v>0.15334999561309801</v>
      </c>
      <c r="L339">
        <v>223</v>
      </c>
      <c r="M339">
        <f t="shared" si="35"/>
        <v>5.4071717714601188</v>
      </c>
      <c r="N339" s="2">
        <v>0.69799999999999995</v>
      </c>
      <c r="O339">
        <v>-1.72982561588287</v>
      </c>
      <c r="P339">
        <v>-1.1944442987442001</v>
      </c>
    </row>
    <row r="340" spans="1:16" x14ac:dyDescent="0.25">
      <c r="A340" t="s">
        <v>36</v>
      </c>
      <c r="B340" s="1" t="s">
        <v>4</v>
      </c>
      <c r="C340">
        <v>2015</v>
      </c>
      <c r="D340">
        <v>86196264755.310532</v>
      </c>
      <c r="E340">
        <v>18515070421.419579</v>
      </c>
      <c r="F340">
        <v>12741960</v>
      </c>
      <c r="G340">
        <f t="shared" si="31"/>
        <v>25.179892681372205</v>
      </c>
      <c r="H340">
        <f t="shared" si="32"/>
        <v>23.641850854784071</v>
      </c>
      <c r="I340">
        <f t="shared" si="33"/>
        <v>16.360411042429032</v>
      </c>
      <c r="J340">
        <f t="shared" si="34"/>
        <v>7.281439812355039</v>
      </c>
      <c r="K340">
        <v>0.16496999561786699</v>
      </c>
      <c r="L340">
        <v>219</v>
      </c>
      <c r="M340">
        <f t="shared" si="35"/>
        <v>5.389071729816501</v>
      </c>
      <c r="N340" s="2">
        <v>0.70099999999999996</v>
      </c>
      <c r="O340">
        <v>-1.6880589723587001</v>
      </c>
      <c r="P340">
        <v>-1.28529608249664</v>
      </c>
    </row>
    <row r="341" spans="1:16" x14ac:dyDescent="0.25">
      <c r="A341" t="s">
        <v>36</v>
      </c>
      <c r="B341" s="1" t="s">
        <v>4</v>
      </c>
      <c r="C341">
        <v>2016</v>
      </c>
      <c r="D341">
        <v>86138288644.17099</v>
      </c>
      <c r="E341">
        <v>16855290927.691441</v>
      </c>
      <c r="F341">
        <v>12913664</v>
      </c>
      <c r="G341">
        <f t="shared" si="31"/>
        <v>25.179219849230499</v>
      </c>
      <c r="H341">
        <f t="shared" si="32"/>
        <v>23.547930446099993</v>
      </c>
      <c r="I341">
        <f t="shared" si="33"/>
        <v>16.373796533555328</v>
      </c>
      <c r="J341">
        <f t="shared" si="34"/>
        <v>7.174133912544665</v>
      </c>
      <c r="K341">
        <v>0.172380000352859</v>
      </c>
      <c r="L341">
        <v>202</v>
      </c>
      <c r="M341">
        <f t="shared" si="35"/>
        <v>5.3082676974012051</v>
      </c>
      <c r="N341" s="2">
        <v>0.70899999999999996</v>
      </c>
      <c r="O341">
        <v>-1.63551414012909</v>
      </c>
      <c r="P341">
        <v>-1.1997640132904099</v>
      </c>
    </row>
    <row r="342" spans="1:16" x14ac:dyDescent="0.25">
      <c r="A342" t="s">
        <v>36</v>
      </c>
      <c r="B342" s="1" t="s">
        <v>4</v>
      </c>
      <c r="C342">
        <v>2017</v>
      </c>
      <c r="D342">
        <v>62081322740.016228</v>
      </c>
      <c r="E342">
        <v>14426294186.66728</v>
      </c>
      <c r="F342">
        <v>13093345</v>
      </c>
      <c r="G342">
        <f t="shared" si="31"/>
        <v>24.851711019617841</v>
      </c>
      <c r="H342">
        <f t="shared" si="32"/>
        <v>23.392318363629283</v>
      </c>
      <c r="I342">
        <f t="shared" si="33"/>
        <v>16.387614643820729</v>
      </c>
      <c r="J342">
        <f t="shared" si="34"/>
        <v>7.0047037198085533</v>
      </c>
      <c r="K342">
        <v>0.14834000170230899</v>
      </c>
      <c r="L342">
        <v>196</v>
      </c>
      <c r="M342">
        <f t="shared" si="35"/>
        <v>5.2781146592305168</v>
      </c>
      <c r="N342" s="2">
        <v>0.71399999999999997</v>
      </c>
      <c r="O342">
        <v>-1.2975754737853999</v>
      </c>
      <c r="P342">
        <v>-1.18751633167267</v>
      </c>
    </row>
    <row r="343" spans="1:16" x14ac:dyDescent="0.25">
      <c r="A343" t="s">
        <v>36</v>
      </c>
      <c r="B343" s="1" t="s">
        <v>4</v>
      </c>
      <c r="C343">
        <v>2018</v>
      </c>
      <c r="D343">
        <v>52870108214.674217</v>
      </c>
      <c r="E343">
        <v>13025809360.814293</v>
      </c>
      <c r="F343">
        <v>13249966</v>
      </c>
      <c r="G343">
        <f t="shared" si="31"/>
        <v>24.69110395399845</v>
      </c>
      <c r="H343">
        <f t="shared" si="32"/>
        <v>23.290198561681343</v>
      </c>
      <c r="I343">
        <f t="shared" si="33"/>
        <v>16.399505544355478</v>
      </c>
      <c r="J343">
        <f t="shared" si="34"/>
        <v>6.8906930173258658</v>
      </c>
      <c r="K343">
        <v>0.12393999844789499</v>
      </c>
      <c r="L343">
        <v>180</v>
      </c>
      <c r="M343">
        <f t="shared" si="35"/>
        <v>5.1929568508902104</v>
      </c>
      <c r="N343" s="2">
        <v>0.71899999999999997</v>
      </c>
      <c r="O343">
        <v>-1.1386688947677599</v>
      </c>
      <c r="P343">
        <v>-1.0823996067047099</v>
      </c>
    </row>
    <row r="344" spans="1:16" x14ac:dyDescent="0.25">
      <c r="A344" t="s">
        <v>36</v>
      </c>
      <c r="B344" s="1" t="s">
        <v>4</v>
      </c>
      <c r="C344">
        <v>2019</v>
      </c>
      <c r="D344">
        <v>60283503705.390671</v>
      </c>
      <c r="E344">
        <v>14652645206.190598</v>
      </c>
      <c r="F344">
        <v>13403597</v>
      </c>
      <c r="G344">
        <f t="shared" si="31"/>
        <v>24.822324332860813</v>
      </c>
      <c r="H344">
        <f t="shared" si="32"/>
        <v>23.407886716259995</v>
      </c>
      <c r="I344">
        <f t="shared" si="33"/>
        <v>16.411033661735313</v>
      </c>
      <c r="J344">
        <f t="shared" si="34"/>
        <v>6.9968530545246814</v>
      </c>
      <c r="K344">
        <v>0.113059997558594</v>
      </c>
      <c r="L344">
        <v>169</v>
      </c>
      <c r="M344">
        <f t="shared" si="35"/>
        <v>5.1298987149230735</v>
      </c>
      <c r="N344" s="2">
        <v>0.72499999999999998</v>
      </c>
      <c r="O344">
        <v>-1.0553227663040201</v>
      </c>
      <c r="P344">
        <v>-1.04689145088196</v>
      </c>
    </row>
    <row r="345" spans="1:16" x14ac:dyDescent="0.25">
      <c r="A345" t="s">
        <v>36</v>
      </c>
      <c r="B345" s="1" t="s">
        <v>4</v>
      </c>
      <c r="C345">
        <v>2020</v>
      </c>
      <c r="D345">
        <v>60224701296.788467</v>
      </c>
      <c r="E345">
        <v>15034956878.315014</v>
      </c>
      <c r="F345">
        <v>13371680</v>
      </c>
      <c r="G345">
        <f t="shared" si="31"/>
        <v>24.82134842564739</v>
      </c>
      <c r="H345">
        <f t="shared" si="32"/>
        <v>23.433643785295995</v>
      </c>
      <c r="I345">
        <f t="shared" si="33"/>
        <v>16.408649595634529</v>
      </c>
      <c r="J345">
        <f t="shared" si="34"/>
        <v>7.0249941896614665</v>
      </c>
      <c r="K345">
        <v>0.13850000500678999</v>
      </c>
      <c r="L345">
        <v>232</v>
      </c>
      <c r="M345">
        <f t="shared" si="35"/>
        <v>5.4467373716663099</v>
      </c>
      <c r="N345" s="2">
        <v>0.71599999999999997</v>
      </c>
      <c r="O345">
        <v>-0.99921643733978305</v>
      </c>
      <c r="P345">
        <v>-1.0728169679641699</v>
      </c>
    </row>
  </sheetData>
  <autoFilter ref="A1:P345"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9"/>
  <sheetViews>
    <sheetView workbookViewId="0">
      <selection activeCell="C22" sqref="C22"/>
    </sheetView>
  </sheetViews>
  <sheetFormatPr defaultRowHeight="15" x14ac:dyDescent="0.25"/>
  <cols>
    <col min="1" max="1" width="15.85546875" customWidth="1"/>
    <col min="2" max="16" width="50.85546875" customWidth="1"/>
  </cols>
  <sheetData>
    <row r="1" spans="1:16" x14ac:dyDescent="0.25">
      <c r="A1" t="s">
        <v>30</v>
      </c>
      <c r="B1" t="s">
        <v>64</v>
      </c>
      <c r="C1" t="s">
        <v>9</v>
      </c>
      <c r="D1" t="s">
        <v>111</v>
      </c>
      <c r="E1" t="s">
        <v>66</v>
      </c>
      <c r="F1" t="s">
        <v>1</v>
      </c>
      <c r="G1" t="s">
        <v>81</v>
      </c>
      <c r="H1" t="s">
        <v>52</v>
      </c>
      <c r="I1" t="s">
        <v>88</v>
      </c>
      <c r="J1" t="s">
        <v>110</v>
      </c>
      <c r="K1" t="s">
        <v>78</v>
      </c>
      <c r="L1" t="s">
        <v>108</v>
      </c>
      <c r="M1" t="s">
        <v>53</v>
      </c>
      <c r="N1" t="s">
        <v>6</v>
      </c>
      <c r="O1" t="s">
        <v>90</v>
      </c>
      <c r="P1" t="s">
        <v>50</v>
      </c>
    </row>
    <row r="2" spans="1:16" x14ac:dyDescent="0.25">
      <c r="A2" t="s">
        <v>67</v>
      </c>
      <c r="B2" t="s">
        <v>94</v>
      </c>
      <c r="C2" t="s">
        <v>21</v>
      </c>
      <c r="E2" t="s">
        <v>24</v>
      </c>
      <c r="F2" t="s">
        <v>100</v>
      </c>
      <c r="G2" t="s">
        <v>2</v>
      </c>
      <c r="H2" t="s">
        <v>62</v>
      </c>
      <c r="I2" t="s">
        <v>13</v>
      </c>
      <c r="J2" t="s">
        <v>10</v>
      </c>
      <c r="L2" t="s">
        <v>43</v>
      </c>
      <c r="P2" t="s">
        <v>34</v>
      </c>
    </row>
    <row r="3" spans="1:16" x14ac:dyDescent="0.25">
      <c r="A3" t="s">
        <v>23</v>
      </c>
      <c r="B3" t="s">
        <v>94</v>
      </c>
      <c r="C3" t="s">
        <v>65</v>
      </c>
      <c r="E3" t="s">
        <v>69</v>
      </c>
      <c r="F3" t="s">
        <v>100</v>
      </c>
      <c r="G3" t="s">
        <v>2</v>
      </c>
      <c r="H3" t="s">
        <v>62</v>
      </c>
      <c r="I3" t="s">
        <v>13</v>
      </c>
      <c r="P3" t="s">
        <v>34</v>
      </c>
    </row>
    <row r="4" spans="1:16" x14ac:dyDescent="0.25">
      <c r="A4" t="s">
        <v>47</v>
      </c>
      <c r="B4" t="s">
        <v>94</v>
      </c>
      <c r="C4" t="s">
        <v>51</v>
      </c>
      <c r="E4" t="s">
        <v>54</v>
      </c>
      <c r="F4" t="s">
        <v>107</v>
      </c>
      <c r="G4" t="s">
        <v>73</v>
      </c>
      <c r="H4" t="s">
        <v>62</v>
      </c>
      <c r="I4" t="s">
        <v>41</v>
      </c>
      <c r="J4" t="s">
        <v>93</v>
      </c>
      <c r="N4" t="s">
        <v>58</v>
      </c>
      <c r="P4" t="s">
        <v>34</v>
      </c>
    </row>
    <row r="5" spans="1:16" x14ac:dyDescent="0.25">
      <c r="A5" t="s">
        <v>92</v>
      </c>
      <c r="B5" t="s">
        <v>94</v>
      </c>
      <c r="C5" t="s">
        <v>48</v>
      </c>
      <c r="E5" t="s">
        <v>12</v>
      </c>
      <c r="F5" t="s">
        <v>87</v>
      </c>
      <c r="G5" t="s">
        <v>28</v>
      </c>
      <c r="H5" t="s">
        <v>62</v>
      </c>
      <c r="I5" t="s">
        <v>82</v>
      </c>
      <c r="J5" t="s">
        <v>83</v>
      </c>
      <c r="K5" t="s">
        <v>25</v>
      </c>
      <c r="L5" t="s">
        <v>79</v>
      </c>
      <c r="P5" t="s">
        <v>34</v>
      </c>
    </row>
    <row r="6" spans="1:16" x14ac:dyDescent="0.25">
      <c r="A6" t="s">
        <v>71</v>
      </c>
      <c r="B6" t="s">
        <v>94</v>
      </c>
      <c r="C6" t="s">
        <v>99</v>
      </c>
      <c r="D6" t="s">
        <v>22</v>
      </c>
      <c r="E6" t="s">
        <v>86</v>
      </c>
      <c r="F6" t="s">
        <v>104</v>
      </c>
      <c r="G6" t="s">
        <v>28</v>
      </c>
      <c r="H6" t="s">
        <v>62</v>
      </c>
      <c r="I6" t="s">
        <v>41</v>
      </c>
      <c r="J6" t="s">
        <v>33</v>
      </c>
      <c r="K6" t="s">
        <v>112</v>
      </c>
      <c r="L6" t="s">
        <v>103</v>
      </c>
      <c r="P6" t="s">
        <v>34</v>
      </c>
    </row>
    <row r="7" spans="1:16" x14ac:dyDescent="0.25">
      <c r="A7" t="s">
        <v>63</v>
      </c>
      <c r="B7" t="s">
        <v>94</v>
      </c>
      <c r="G7" t="s">
        <v>95</v>
      </c>
      <c r="M7" t="s">
        <v>84</v>
      </c>
      <c r="O7" t="s">
        <v>0</v>
      </c>
      <c r="P7" t="s">
        <v>34</v>
      </c>
    </row>
    <row r="8" spans="1:16" x14ac:dyDescent="0.25">
      <c r="A8" t="s">
        <v>57</v>
      </c>
      <c r="B8" t="s">
        <v>94</v>
      </c>
      <c r="G8" t="s">
        <v>95</v>
      </c>
      <c r="M8" t="s">
        <v>84</v>
      </c>
      <c r="O8" t="s">
        <v>0</v>
      </c>
      <c r="P8" t="s">
        <v>34</v>
      </c>
    </row>
    <row r="9" spans="1:16" x14ac:dyDescent="0.25">
      <c r="A9" t="s">
        <v>117</v>
      </c>
      <c r="B9" t="s">
        <v>94</v>
      </c>
      <c r="C9" t="s">
        <v>118</v>
      </c>
      <c r="D9" t="s">
        <v>119</v>
      </c>
      <c r="E9" t="s">
        <v>100</v>
      </c>
      <c r="F9" t="s">
        <v>120</v>
      </c>
      <c r="G9" t="s">
        <v>62</v>
      </c>
      <c r="H9" t="s">
        <v>121</v>
      </c>
      <c r="I9"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Giang</cp:lastModifiedBy>
  <dcterms:modified xsi:type="dcterms:W3CDTF">2024-11-15T16:05:06Z</dcterms:modified>
</cp:coreProperties>
</file>